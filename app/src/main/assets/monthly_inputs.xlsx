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macrosheets/sheet1.xml" ContentType="application/vnd.ms-excel.macro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 codeName="{372AB895-14C1-FC20-EB20-F1B4BCFD95AE}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17467d010503d2c/Desktop/teste/"/>
    </mc:Choice>
  </mc:AlternateContent>
  <xr:revisionPtr revIDLastSave="0" documentId="8_{18BCBD5A-B019-4B2F-8EBE-5EBB8F76779C}" xr6:coauthVersionLast="47" xr6:coauthVersionMax="47" xr10:uidLastSave="{00000000-0000-0000-0000-000000000000}"/>
  <bookViews>
    <workbookView xWindow="390" yWindow="390" windowWidth="21600" windowHeight="11295" activeTab="1" xr2:uid="{00000000-000D-0000-FFFF-FFFF00000000}"/>
  </bookViews>
  <sheets>
    <sheet name="Macro1" sheetId="2" r:id="rId1"/>
    <sheet name="Controle Financeiro" sheetId="1" r:id="rId2"/>
  </sheets>
  <functionGroups builtInGroupCount="19"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L23" i="1" l="1"/>
  <c r="CL24" i="1" s="1"/>
  <c r="CB23" i="1"/>
  <c r="CB24" i="1" s="1"/>
  <c r="BW23" i="1"/>
  <c r="BW24" i="1" s="1"/>
  <c r="BR23" i="1"/>
  <c r="BR24" i="1" s="1"/>
  <c r="BM23" i="1"/>
  <c r="BM24" i="1" s="1"/>
  <c r="BH23" i="1"/>
  <c r="BH24" i="1" s="1"/>
  <c r="BC23" i="1"/>
  <c r="BC24" i="1" s="1"/>
  <c r="C65" i="1"/>
  <c r="C66" i="1" s="1"/>
  <c r="AX23" i="1"/>
  <c r="AX24" i="1" s="1"/>
  <c r="AS23" i="1"/>
  <c r="AS24" i="1" s="1"/>
  <c r="AN23" i="1"/>
  <c r="AN24" i="1" s="1"/>
  <c r="AD23" i="1"/>
  <c r="AD24" i="1"/>
  <c r="AI23" i="1"/>
  <c r="AI24" i="1" s="1"/>
  <c r="Y23" i="1"/>
  <c r="Y24" i="1" s="1"/>
  <c r="T23" i="1"/>
  <c r="T24" i="1"/>
  <c r="D23" i="1"/>
  <c r="O23" i="1"/>
  <c r="O24" i="1"/>
  <c r="CG23" i="1" a="1"/>
  <c r="CG23" i="1" l="1"/>
  <c r="CG24" i="1"/>
  <c r="D24" i="1"/>
  <c r="I23" i="1"/>
  <c r="I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<sst xmlns="http://schemas.openxmlformats.org/spreadsheetml/2006/main" count="546" uniqueCount="135">
  <si>
    <t>PROJEÇÃO MÊS 04</t>
  </si>
  <si>
    <t>Data</t>
  </si>
  <si>
    <t>PROJEÇÃO MÊS 05</t>
  </si>
  <si>
    <t>Juros</t>
  </si>
  <si>
    <t>PROJEÇÃO MÊS 06</t>
  </si>
  <si>
    <t>PROJEÇÃO MÊS 07</t>
  </si>
  <si>
    <t>PROJEÇÃO MÊS 08</t>
  </si>
  <si>
    <t>PROJEÇÃO MÊS 09</t>
  </si>
  <si>
    <t>PROJEÇÃO MÊS 10</t>
  </si>
  <si>
    <t>PROJEÇÃO MÊS 11</t>
  </si>
  <si>
    <t>PROJEÇÃO MÊS 12</t>
  </si>
  <si>
    <t>PROJEÇÃO MÊS 01/26</t>
  </si>
  <si>
    <t>PROJEÇÃO MÊS 02/26</t>
  </si>
  <si>
    <t>PROJEÇÃO MÊS 03/26</t>
  </si>
  <si>
    <t>PROJEÇÃO MÊS 04/26</t>
  </si>
  <si>
    <t>PROJEÇÃO MÊS 05/26</t>
  </si>
  <si>
    <t>PROJEÇÃO MÊS 06/26</t>
  </si>
  <si>
    <t>Descrição</t>
  </si>
  <si>
    <t>Categoria</t>
  </si>
  <si>
    <t>Valor Total(R$)</t>
  </si>
  <si>
    <t>ITAU 4/24+5/24</t>
  </si>
  <si>
    <t>BOLETO FIXO</t>
  </si>
  <si>
    <t>NP</t>
  </si>
  <si>
    <t>QUITAÇÃO ITAU</t>
  </si>
  <si>
    <t>PIX</t>
  </si>
  <si>
    <t>DEVOLVER PIS 1/2</t>
  </si>
  <si>
    <t>Parcela</t>
  </si>
  <si>
    <t>ALUGUEL</t>
  </si>
  <si>
    <t>DESPESAS FIXAS</t>
  </si>
  <si>
    <t>ITAU 4/12+5/12</t>
  </si>
  <si>
    <t>QUITAÇÃO NUBANK</t>
  </si>
  <si>
    <t>SANEAGO</t>
  </si>
  <si>
    <t>NUBANK 4/12+5/12</t>
  </si>
  <si>
    <t>EQUATORIAL</t>
  </si>
  <si>
    <t>RECOVERY 4/13+5/13</t>
  </si>
  <si>
    <t>LINQ INTERNET</t>
  </si>
  <si>
    <t>ESTACIONAMENTO</t>
  </si>
  <si>
    <t>ÁGIL 5/6</t>
  </si>
  <si>
    <t>PARCELAS</t>
  </si>
  <si>
    <t>Shopee</t>
  </si>
  <si>
    <t>1 de 3</t>
  </si>
  <si>
    <t>3 de 3</t>
  </si>
  <si>
    <t>Plano CEL</t>
  </si>
  <si>
    <t>BOOK 2/4</t>
  </si>
  <si>
    <t>DIVERSOS</t>
  </si>
  <si>
    <t>EMPRESTIMO</t>
  </si>
  <si>
    <t>JUROS</t>
  </si>
  <si>
    <t>ÁGIL 3/6</t>
  </si>
  <si>
    <t>ÁGIL 4/6</t>
  </si>
  <si>
    <t>Emprestimo</t>
  </si>
  <si>
    <t>NuBank</t>
  </si>
  <si>
    <t>CC</t>
  </si>
  <si>
    <t>Geladeira 1/10</t>
  </si>
  <si>
    <t>1/10</t>
  </si>
  <si>
    <t>Geladeira 2/10</t>
  </si>
  <si>
    <t>2/10</t>
  </si>
  <si>
    <t>Geladeira 3/10</t>
  </si>
  <si>
    <t>3/10</t>
  </si>
  <si>
    <t>Geladeira 4/10</t>
  </si>
  <si>
    <t>4/10</t>
  </si>
  <si>
    <t>Geladeira 5/10</t>
  </si>
  <si>
    <t>5/10</t>
  </si>
  <si>
    <t>RX6600 4/6</t>
  </si>
  <si>
    <t>ÁGIL 1/6</t>
  </si>
  <si>
    <t>Facul</t>
  </si>
  <si>
    <t>A NEGOCIAR</t>
  </si>
  <si>
    <t>A VISTA</t>
  </si>
  <si>
    <t>Despesas Hospital</t>
  </si>
  <si>
    <t>1x</t>
  </si>
  <si>
    <t>MercadoPago</t>
  </si>
  <si>
    <t>Cadeira Ergonomica</t>
  </si>
  <si>
    <t>A vista</t>
  </si>
  <si>
    <t>Cartão Nubank</t>
  </si>
  <si>
    <t>RG 1/2</t>
  </si>
  <si>
    <t>RX6600 6/6</t>
  </si>
  <si>
    <t>Oficina Moto</t>
  </si>
  <si>
    <t>ÁGIL 2/6</t>
  </si>
  <si>
    <t>FACULDADE - PÓS</t>
  </si>
  <si>
    <t>4 de 4</t>
  </si>
  <si>
    <t>MULTA BIZ</t>
  </si>
  <si>
    <t>Jeitto</t>
  </si>
  <si>
    <t>Headphone</t>
  </si>
  <si>
    <t>Cartão MercPago</t>
  </si>
  <si>
    <t>Cartão Jeitto</t>
  </si>
  <si>
    <t>DG</t>
  </si>
  <si>
    <t>BOOK 4/4</t>
  </si>
  <si>
    <t>DEVOLVER PIS 2/2</t>
  </si>
  <si>
    <t>Microondas</t>
  </si>
  <si>
    <t>Gravata Leo CEF</t>
  </si>
  <si>
    <t>6/6</t>
  </si>
  <si>
    <t>RG 2/2</t>
  </si>
  <si>
    <t>C&amp;A</t>
  </si>
  <si>
    <t>Guarda Roupas</t>
  </si>
  <si>
    <t>BRCC</t>
  </si>
  <si>
    <t>Bradesco</t>
  </si>
  <si>
    <t>1/2</t>
  </si>
  <si>
    <t>RX6600 5/6</t>
  </si>
  <si>
    <t>1 de 4</t>
  </si>
  <si>
    <t>KIT Upgrade Ryzen</t>
  </si>
  <si>
    <t>ÁGIL 6/6</t>
  </si>
  <si>
    <t>Cartão Bradesco</t>
  </si>
  <si>
    <t>BOOK 3/4</t>
  </si>
  <si>
    <t>Mouse x11</t>
  </si>
  <si>
    <r>
      <rPr>
        <sz val="11"/>
        <color rgb="FF000000"/>
        <rFont val="Calibri"/>
        <scheme val="minor"/>
      </rPr>
      <t>Pago =</t>
    </r>
    <r>
      <rPr>
        <sz val="11"/>
        <color rgb="FF00B050"/>
        <rFont val="Calibri"/>
        <scheme val="minor"/>
      </rPr>
      <t xml:space="preserve"> ♣♣♣</t>
    </r>
  </si>
  <si>
    <t>Antec. EQUATORIAL</t>
  </si>
  <si>
    <t>Teclado magnético 75%</t>
  </si>
  <si>
    <t>Totais</t>
  </si>
  <si>
    <t>Total Entradas</t>
  </si>
  <si>
    <t>Total Saídas</t>
  </si>
  <si>
    <t>Saldo Final</t>
  </si>
  <si>
    <t>Devolução Auxilio INSS</t>
  </si>
  <si>
    <t>Salario</t>
  </si>
  <si>
    <t>Total entradas</t>
  </si>
  <si>
    <t>MercPago</t>
  </si>
  <si>
    <t>PROJEÇÃO MÊS 07/26</t>
  </si>
  <si>
    <t>2/2</t>
  </si>
  <si>
    <t>6/10</t>
  </si>
  <si>
    <t>Geladeira</t>
  </si>
  <si>
    <t>Mercado Pago</t>
  </si>
  <si>
    <t>2/6</t>
  </si>
  <si>
    <t>Cartão Efi</t>
  </si>
  <si>
    <t>Cartão PAN</t>
  </si>
  <si>
    <t>BrasilCard</t>
  </si>
  <si>
    <t>Facio</t>
  </si>
  <si>
    <t>NoVerde</t>
  </si>
  <si>
    <t>1/3</t>
  </si>
  <si>
    <t>3/6</t>
  </si>
  <si>
    <t>2/3</t>
  </si>
  <si>
    <t>7/10</t>
  </si>
  <si>
    <t>PAN</t>
  </si>
  <si>
    <t>PROJEÇÃO MÊS 08/26</t>
  </si>
  <si>
    <t>PROJEÇÃO MÊS 09/26</t>
  </si>
  <si>
    <t>3/3</t>
  </si>
  <si>
    <t>4/6</t>
  </si>
  <si>
    <t>8/10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</si>
</sst>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FFC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B05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3" borderId="8" xfId="0" applyFont="1" applyFill="1" applyBorder="1" applyAlignment="1"/>
    <xf numFmtId="0" fontId="0" fillId="0" borderId="9" xfId="0" applyBorder="1"/>
    <xf numFmtId="0" fontId="3" fillId="2" borderId="7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 wrapText="1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/>
    <xf numFmtId="0" fontId="0" fillId="4" borderId="1" xfId="0" applyFill="1" applyBorder="1"/>
    <xf numFmtId="14" fontId="0" fillId="4" borderId="10" xfId="0" applyNumberFormat="1" applyFill="1" applyBorder="1" applyAlignment="1">
      <alignment horizontal="center" wrapText="1"/>
    </xf>
    <xf numFmtId="0" fontId="4" fillId="4" borderId="10" xfId="0" applyFont="1" applyFill="1" applyBorder="1" applyAlignment="1">
      <alignment horizontal="left" vertical="center"/>
    </xf>
    <xf numFmtId="0" fontId="0" fillId="4" borderId="10" xfId="0" applyFill="1" applyBorder="1" applyAlignment="1"/>
    <xf numFmtId="164" fontId="0" fillId="4" borderId="10" xfId="0" applyNumberFormat="1" applyFill="1" applyBorder="1"/>
    <xf numFmtId="0" fontId="0" fillId="4" borderId="10" xfId="0" applyFill="1" applyBorder="1"/>
    <xf numFmtId="0" fontId="5" fillId="4" borderId="10" xfId="0" applyFont="1" applyFill="1" applyBorder="1" applyAlignment="1"/>
    <xf numFmtId="0" fontId="0" fillId="4" borderId="10" xfId="0" applyFill="1" applyBorder="1" applyAlignment="1">
      <alignment vertical="center"/>
    </xf>
    <xf numFmtId="14" fontId="0" fillId="4" borderId="11" xfId="0" applyNumberFormat="1" applyFill="1" applyBorder="1" applyAlignment="1">
      <alignment horizontal="center" wrapText="1"/>
    </xf>
    <xf numFmtId="0" fontId="4" fillId="4" borderId="11" xfId="0" applyFont="1" applyFill="1" applyBorder="1" applyAlignment="1">
      <alignment horizontal="left" vertical="center"/>
    </xf>
    <xf numFmtId="0" fontId="0" fillId="4" borderId="11" xfId="0" applyFill="1" applyBorder="1" applyAlignment="1">
      <alignment vertical="center"/>
    </xf>
    <xf numFmtId="164" fontId="0" fillId="4" borderId="11" xfId="0" applyNumberFormat="1" applyFill="1" applyBorder="1"/>
    <xf numFmtId="0" fontId="4" fillId="4" borderId="10" xfId="0" applyFont="1" applyFill="1" applyBorder="1" applyAlignment="1">
      <alignment horizontal="left" vertical="center" wrapText="1"/>
    </xf>
    <xf numFmtId="49" fontId="0" fillId="4" borderId="10" xfId="0" applyNumberFormat="1" applyFill="1" applyBorder="1" applyAlignment="1"/>
    <xf numFmtId="0" fontId="4" fillId="3" borderId="10" xfId="0" applyFont="1" applyFill="1" applyBorder="1" applyAlignment="1">
      <alignment horizontal="left" vertical="center"/>
    </xf>
    <xf numFmtId="0" fontId="0" fillId="3" borderId="10" xfId="0" applyFill="1" applyBorder="1" applyAlignment="1">
      <alignment vertical="center"/>
    </xf>
    <xf numFmtId="16" fontId="0" fillId="4" borderId="10" xfId="0" applyNumberFormat="1" applyFill="1" applyBorder="1" applyAlignment="1"/>
    <xf numFmtId="16" fontId="0" fillId="4" borderId="10" xfId="0" applyNumberFormat="1" applyFill="1" applyBorder="1" applyAlignment="1">
      <alignment vertical="center"/>
    </xf>
    <xf numFmtId="0" fontId="3" fillId="2" borderId="12" xfId="0" applyFont="1" applyFill="1" applyBorder="1" applyAlignment="1">
      <alignment horizontal="center"/>
    </xf>
    <xf numFmtId="0" fontId="4" fillId="0" borderId="20" xfId="0" applyFont="1" applyBorder="1" applyAlignment="1">
      <alignment horizontal="center" vertical="center"/>
    </xf>
    <xf numFmtId="164" fontId="0" fillId="0" borderId="20" xfId="0" applyNumberFormat="1" applyBorder="1"/>
    <xf numFmtId="0" fontId="0" fillId="5" borderId="18" xfId="0" applyFill="1" applyBorder="1"/>
    <xf numFmtId="0" fontId="0" fillId="5" borderId="21" xfId="0" applyFill="1" applyBorder="1"/>
    <xf numFmtId="0" fontId="0" fillId="5" borderId="0" xfId="0" applyFill="1" applyBorder="1"/>
    <xf numFmtId="0" fontId="0" fillId="5" borderId="17" xfId="0" applyFill="1" applyBorder="1"/>
    <xf numFmtId="0" fontId="0" fillId="5" borderId="19" xfId="0" applyFill="1" applyBorder="1"/>
    <xf numFmtId="14" fontId="0" fillId="3" borderId="15" xfId="0" applyNumberFormat="1" applyFill="1" applyBorder="1" applyAlignment="1">
      <alignment horizontal="center" wrapText="1"/>
    </xf>
    <xf numFmtId="164" fontId="0" fillId="3" borderId="16" xfId="0" applyNumberFormat="1" applyFill="1" applyBorder="1"/>
    <xf numFmtId="0" fontId="0" fillId="5" borderId="17" xfId="0" applyFill="1" applyBorder="1" applyAlignment="1"/>
    <xf numFmtId="0" fontId="0" fillId="5" borderId="0" xfId="0" applyFill="1" applyBorder="1" applyAlignment="1"/>
    <xf numFmtId="0" fontId="0" fillId="5" borderId="18" xfId="0" applyFill="1" applyBorder="1" applyAlignment="1"/>
    <xf numFmtId="14" fontId="0" fillId="3" borderId="10" xfId="0" applyNumberFormat="1" applyFill="1" applyBorder="1" applyAlignment="1">
      <alignment horizontal="center" wrapText="1"/>
    </xf>
    <xf numFmtId="164" fontId="0" fillId="3" borderId="10" xfId="0" applyNumberFormat="1" applyFill="1" applyBorder="1"/>
    <xf numFmtId="16" fontId="0" fillId="3" borderId="10" xfId="0" applyNumberFormat="1" applyFill="1" applyBorder="1" applyAlignment="1">
      <alignment vertical="center"/>
    </xf>
    <xf numFmtId="16" fontId="0" fillId="4" borderId="10" xfId="0" quotePrefix="1" applyNumberFormat="1" applyFill="1" applyBorder="1" applyAlignment="1">
      <alignment vertical="center"/>
    </xf>
    <xf numFmtId="0" fontId="1" fillId="0" borderId="0" xfId="0" applyFont="1"/>
    <xf numFmtId="16" fontId="0" fillId="3" borderId="10" xfId="0" quotePrefix="1" applyNumberFormat="1" applyFill="1" applyBorder="1" applyAlignment="1">
      <alignment vertical="center"/>
    </xf>
    <xf numFmtId="0" fontId="6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6/relationships/vbaProject" Target="vbaProject.bin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microsoft.com/office/2006/relationships/xlMacrosheet" Target="macro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macrosheets/sheet1.xml><?xml version="1.0" encoding="utf-8"?>
<xm:macrosheet xmlns="http://schemas.openxmlformats.org/spreadsheetml/2006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r6="http://schemas.microsoft.com/office/spreadsheetml/2016/revision6" mc:Ignorable="x14ac xr xr2 xr3 xr6" xr6:uid="{338E2ABE-C8F4-45BC-9DE0-0DD03088B6CB}">
  <dimension ref="A1"/>
  <sheetViews>
    <sheetView showFormulas="1" workbookViewId="0"/>
  </sheetViews>
  <sheetFormatPr defaultRowHeight="15" x14ac:dyDescent="0.25"/>
  <sheetData/>
  <pageMargins left="0.7" right="0.7" top="0.75" bottom="0.75" header="0.3" footer="0.3"/>
</xm:macro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M66"/>
  <sheetViews>
    <sheetView tabSelected="1" topLeftCell="BX1" workbookViewId="0">
      <selection activeCell="CN14" sqref="CN14"/>
    </sheetView>
  </sheetViews>
  <sheetFormatPr defaultColWidth="14.5703125" defaultRowHeight="15" x14ac:dyDescent="0.25"/>
  <cols>
    <col min="1" max="1" width="16.5703125" customWidth="1"/>
    <col min="2" max="2" width="18.28515625" customWidth="1"/>
    <col min="3" max="3" width="14.85546875" bestFit="1" customWidth="1"/>
    <col min="4" max="4" width="13" customWidth="1"/>
    <col min="5" max="5" width="16.28515625" customWidth="1"/>
    <col min="6" max="6" width="12.140625" customWidth="1"/>
    <col min="7" max="7" width="14.85546875" customWidth="1"/>
    <col min="8" max="8" width="19.5703125" customWidth="1"/>
    <col min="10" max="10" width="13.28515625" customWidth="1"/>
    <col min="14" max="14" width="18.5703125" customWidth="1"/>
    <col min="19" max="19" width="18.42578125" customWidth="1"/>
    <col min="20" max="20" width="16.140625" customWidth="1"/>
    <col min="24" max="24" width="17.7109375" customWidth="1"/>
    <col min="29" max="29" width="17.85546875" customWidth="1"/>
    <col min="34" max="34" width="19" customWidth="1"/>
    <col min="39" max="39" width="17" bestFit="1" customWidth="1"/>
    <col min="50" max="50" width="14.85546875" bestFit="1" customWidth="1"/>
    <col min="59" max="59" width="21.5703125" bestFit="1" customWidth="1"/>
    <col min="60" max="60" width="14.85546875" bestFit="1" customWidth="1"/>
    <col min="64" max="64" width="21" customWidth="1"/>
    <col min="69" max="69" width="18.42578125" customWidth="1"/>
    <col min="74" max="74" width="16.42578125" customWidth="1"/>
  </cols>
  <sheetData>
    <row r="1" spans="1:91" x14ac:dyDescent="0.25">
      <c r="A1" s="54" t="s">
        <v>0</v>
      </c>
      <c r="B1" s="55"/>
      <c r="C1" s="55"/>
      <c r="D1" s="55"/>
      <c r="E1" s="56"/>
      <c r="G1" s="7" t="s">
        <v>1</v>
      </c>
      <c r="H1" s="49" t="s">
        <v>2</v>
      </c>
      <c r="I1" s="49"/>
      <c r="J1" s="49"/>
      <c r="K1" s="7" t="s">
        <v>3</v>
      </c>
      <c r="M1" s="7" t="s">
        <v>1</v>
      </c>
      <c r="N1" s="49" t="s">
        <v>4</v>
      </c>
      <c r="O1" s="49"/>
      <c r="P1" s="49"/>
      <c r="R1" s="7" t="s">
        <v>1</v>
      </c>
      <c r="S1" s="49" t="s">
        <v>5</v>
      </c>
      <c r="T1" s="49"/>
      <c r="U1" s="49"/>
      <c r="W1" s="7" t="s">
        <v>1</v>
      </c>
      <c r="X1" s="49" t="s">
        <v>6</v>
      </c>
      <c r="Y1" s="49"/>
      <c r="Z1" s="49"/>
      <c r="AB1" s="7" t="s">
        <v>1</v>
      </c>
      <c r="AC1" s="49" t="s">
        <v>7</v>
      </c>
      <c r="AD1" s="49"/>
      <c r="AE1" s="49"/>
      <c r="AG1" s="7" t="s">
        <v>1</v>
      </c>
      <c r="AH1" s="49" t="s">
        <v>8</v>
      </c>
      <c r="AI1" s="49"/>
      <c r="AJ1" s="49"/>
      <c r="AL1" s="7" t="s">
        <v>1</v>
      </c>
      <c r="AM1" s="49" t="s">
        <v>9</v>
      </c>
      <c r="AN1" s="49"/>
      <c r="AO1" s="49"/>
      <c r="AQ1" s="7" t="s">
        <v>1</v>
      </c>
      <c r="AR1" s="49" t="s">
        <v>10</v>
      </c>
      <c r="AS1" s="49"/>
      <c r="AT1" s="49"/>
      <c r="AV1" s="7" t="s">
        <v>1</v>
      </c>
      <c r="AW1" s="49" t="s">
        <v>11</v>
      </c>
      <c r="AX1" s="49"/>
      <c r="AY1" s="49"/>
      <c r="BA1" s="7" t="s">
        <v>1</v>
      </c>
      <c r="BB1" s="49" t="s">
        <v>12</v>
      </c>
      <c r="BC1" s="49"/>
      <c r="BD1" s="49"/>
      <c r="BF1" s="7" t="s">
        <v>1</v>
      </c>
      <c r="BG1" s="49" t="s">
        <v>13</v>
      </c>
      <c r="BH1" s="49"/>
      <c r="BI1" s="49"/>
      <c r="BK1" s="7" t="s">
        <v>1</v>
      </c>
      <c r="BL1" s="49" t="s">
        <v>14</v>
      </c>
      <c r="BM1" s="49"/>
      <c r="BN1" s="49"/>
      <c r="BP1" s="7" t="s">
        <v>1</v>
      </c>
      <c r="BQ1" s="49" t="s">
        <v>15</v>
      </c>
      <c r="BR1" s="49"/>
      <c r="BS1" s="49"/>
      <c r="BU1" s="7" t="s">
        <v>1</v>
      </c>
      <c r="BV1" s="49" t="s">
        <v>16</v>
      </c>
      <c r="BW1" s="49"/>
      <c r="BX1" s="49"/>
      <c r="BZ1" s="7" t="s">
        <v>1</v>
      </c>
      <c r="CA1" s="49" t="s">
        <v>114</v>
      </c>
      <c r="CB1" s="49"/>
      <c r="CC1" s="49"/>
      <c r="CE1" s="7" t="s">
        <v>1</v>
      </c>
      <c r="CF1" s="49" t="s">
        <v>130</v>
      </c>
      <c r="CG1" s="49"/>
      <c r="CH1" s="49"/>
      <c r="CJ1" s="7" t="s">
        <v>1</v>
      </c>
      <c r="CK1" s="49" t="s">
        <v>131</v>
      </c>
      <c r="CL1" s="49"/>
      <c r="CM1" s="49"/>
    </row>
    <row r="2" spans="1:91" x14ac:dyDescent="0.25">
      <c r="A2" s="3" t="s">
        <v>1</v>
      </c>
      <c r="B2" s="3" t="s">
        <v>17</v>
      </c>
      <c r="C2" s="3" t="s">
        <v>18</v>
      </c>
      <c r="D2" s="3" t="s">
        <v>19</v>
      </c>
      <c r="E2" s="3" t="s">
        <v>3</v>
      </c>
      <c r="G2" s="13">
        <v>45797</v>
      </c>
      <c r="H2" s="14" t="s">
        <v>20</v>
      </c>
      <c r="I2" s="15" t="s">
        <v>21</v>
      </c>
      <c r="J2" s="16">
        <v>70</v>
      </c>
      <c r="K2" s="17" t="s">
        <v>22</v>
      </c>
      <c r="M2" s="13">
        <v>45828</v>
      </c>
      <c r="N2" s="14" t="s">
        <v>23</v>
      </c>
      <c r="O2" s="15" t="s">
        <v>24</v>
      </c>
      <c r="P2" s="16">
        <v>1076</v>
      </c>
      <c r="R2" s="13">
        <v>45858</v>
      </c>
      <c r="S2" s="14" t="s">
        <v>25</v>
      </c>
      <c r="T2" s="25" t="s">
        <v>26</v>
      </c>
      <c r="U2" s="16">
        <v>1270</v>
      </c>
      <c r="W2" s="13">
        <v>45889</v>
      </c>
      <c r="X2" s="14" t="s">
        <v>27</v>
      </c>
      <c r="Y2" s="19" t="s">
        <v>28</v>
      </c>
      <c r="Z2" s="16">
        <v>700</v>
      </c>
      <c r="AB2" s="13">
        <v>45920</v>
      </c>
      <c r="AC2" s="14" t="s">
        <v>27</v>
      </c>
      <c r="AD2" s="19" t="s">
        <v>28</v>
      </c>
      <c r="AE2" s="16">
        <v>700</v>
      </c>
      <c r="AG2" s="13">
        <v>45950</v>
      </c>
      <c r="AH2" s="14" t="s">
        <v>27</v>
      </c>
      <c r="AI2" s="19" t="s">
        <v>28</v>
      </c>
      <c r="AJ2" s="16">
        <v>700</v>
      </c>
      <c r="AL2" s="13">
        <v>45981</v>
      </c>
      <c r="AM2" s="14" t="s">
        <v>27</v>
      </c>
      <c r="AN2" s="19" t="s">
        <v>28</v>
      </c>
      <c r="AO2" s="16">
        <v>700</v>
      </c>
      <c r="AQ2" s="13">
        <v>46011</v>
      </c>
      <c r="AR2" s="14" t="s">
        <v>27</v>
      </c>
      <c r="AS2" s="19" t="s">
        <v>28</v>
      </c>
      <c r="AT2" s="16">
        <v>700</v>
      </c>
      <c r="AV2" s="13">
        <v>46042</v>
      </c>
      <c r="AW2" s="14" t="s">
        <v>27</v>
      </c>
      <c r="AX2" s="19" t="s">
        <v>28</v>
      </c>
      <c r="AY2" s="16">
        <v>700</v>
      </c>
      <c r="BA2" s="13">
        <v>46073</v>
      </c>
      <c r="BB2" s="14" t="s">
        <v>27</v>
      </c>
      <c r="BC2" s="19" t="s">
        <v>28</v>
      </c>
      <c r="BD2" s="16">
        <v>800</v>
      </c>
      <c r="BF2" s="13">
        <v>46101</v>
      </c>
      <c r="BG2" s="14" t="s">
        <v>27</v>
      </c>
      <c r="BH2" s="19" t="s">
        <v>28</v>
      </c>
      <c r="BI2" s="16">
        <v>800</v>
      </c>
      <c r="BK2" s="13">
        <v>46132</v>
      </c>
      <c r="BL2" s="14" t="s">
        <v>27</v>
      </c>
      <c r="BM2" s="19" t="s">
        <v>28</v>
      </c>
      <c r="BN2" s="16">
        <v>800</v>
      </c>
      <c r="BP2" s="13">
        <v>46162</v>
      </c>
      <c r="BQ2" s="14" t="s">
        <v>27</v>
      </c>
      <c r="BR2" s="19" t="s">
        <v>28</v>
      </c>
      <c r="BS2" s="16">
        <v>800</v>
      </c>
      <c r="BU2" s="13">
        <v>46193</v>
      </c>
      <c r="BV2" s="14" t="s">
        <v>27</v>
      </c>
      <c r="BW2" s="19" t="s">
        <v>28</v>
      </c>
      <c r="BX2" s="16">
        <v>800</v>
      </c>
      <c r="BZ2" s="13">
        <v>46223</v>
      </c>
      <c r="CA2" s="14" t="s">
        <v>27</v>
      </c>
      <c r="CB2" s="19" t="s">
        <v>28</v>
      </c>
      <c r="CC2" s="16">
        <v>800</v>
      </c>
      <c r="CE2" s="13">
        <v>46254</v>
      </c>
      <c r="CF2" s="14" t="s">
        <v>27</v>
      </c>
      <c r="CG2" s="19" t="s">
        <v>28</v>
      </c>
      <c r="CH2" s="16">
        <v>800</v>
      </c>
      <c r="CJ2" s="43">
        <v>46285</v>
      </c>
      <c r="CK2" s="26" t="s">
        <v>27</v>
      </c>
      <c r="CL2" s="27" t="s">
        <v>28</v>
      </c>
      <c r="CM2" s="44">
        <v>800</v>
      </c>
    </row>
    <row r="3" spans="1:91" ht="16.5" customHeight="1" x14ac:dyDescent="0.25">
      <c r="A3" s="8">
        <v>45767</v>
      </c>
      <c r="B3" s="9" t="s">
        <v>27</v>
      </c>
      <c r="C3" s="10" t="s">
        <v>28</v>
      </c>
      <c r="D3" s="11">
        <v>600</v>
      </c>
      <c r="E3" s="12" t="s">
        <v>22</v>
      </c>
      <c r="G3" s="13">
        <v>45797</v>
      </c>
      <c r="H3" s="14" t="s">
        <v>29</v>
      </c>
      <c r="I3" s="18" t="s">
        <v>21</v>
      </c>
      <c r="J3" s="16">
        <v>90</v>
      </c>
      <c r="K3" s="17" t="s">
        <v>22</v>
      </c>
      <c r="M3" s="13">
        <v>45828</v>
      </c>
      <c r="N3" s="24" t="s">
        <v>30</v>
      </c>
      <c r="O3" s="18" t="s">
        <v>24</v>
      </c>
      <c r="P3" s="16">
        <v>571</v>
      </c>
      <c r="R3" s="13">
        <v>45858</v>
      </c>
      <c r="S3" s="14" t="s">
        <v>27</v>
      </c>
      <c r="T3" s="19" t="s">
        <v>28</v>
      </c>
      <c r="U3" s="16">
        <v>700</v>
      </c>
      <c r="W3" s="13">
        <v>45889</v>
      </c>
      <c r="X3" s="14" t="s">
        <v>31</v>
      </c>
      <c r="Y3" s="19" t="s">
        <v>28</v>
      </c>
      <c r="Z3" s="16">
        <v>62</v>
      </c>
      <c r="AB3" s="13">
        <v>45920</v>
      </c>
      <c r="AC3" s="14" t="s">
        <v>31</v>
      </c>
      <c r="AD3" s="19" t="s">
        <v>28</v>
      </c>
      <c r="AE3" s="16">
        <v>70</v>
      </c>
      <c r="AG3" s="13">
        <v>45950</v>
      </c>
      <c r="AH3" s="14" t="s">
        <v>31</v>
      </c>
      <c r="AI3" s="19" t="s">
        <v>28</v>
      </c>
      <c r="AJ3" s="16">
        <v>70</v>
      </c>
      <c r="AL3" s="13">
        <v>45981</v>
      </c>
      <c r="AM3" s="14" t="s">
        <v>31</v>
      </c>
      <c r="AN3" s="19" t="s">
        <v>28</v>
      </c>
      <c r="AO3" s="16">
        <v>70</v>
      </c>
      <c r="AQ3" s="13">
        <v>46011</v>
      </c>
      <c r="AR3" s="14" t="s">
        <v>31</v>
      </c>
      <c r="AS3" s="19" t="s">
        <v>28</v>
      </c>
      <c r="AT3" s="16">
        <v>70</v>
      </c>
      <c r="AV3" s="13">
        <v>46042</v>
      </c>
      <c r="AW3" s="14" t="s">
        <v>31</v>
      </c>
      <c r="AX3" s="19" t="s">
        <v>28</v>
      </c>
      <c r="AY3" s="16">
        <v>70</v>
      </c>
      <c r="BA3" s="13">
        <v>46073</v>
      </c>
      <c r="BB3" s="14" t="s">
        <v>31</v>
      </c>
      <c r="BC3" s="19" t="s">
        <v>28</v>
      </c>
      <c r="BD3" s="16">
        <v>70</v>
      </c>
      <c r="BF3" s="13">
        <v>46101</v>
      </c>
      <c r="BG3" s="14" t="s">
        <v>31</v>
      </c>
      <c r="BH3" s="19" t="s">
        <v>28</v>
      </c>
      <c r="BI3" s="16">
        <v>70</v>
      </c>
      <c r="BK3" s="13">
        <v>46132</v>
      </c>
      <c r="BL3" s="14" t="s">
        <v>31</v>
      </c>
      <c r="BM3" s="19" t="s">
        <v>28</v>
      </c>
      <c r="BN3" s="16">
        <v>70</v>
      </c>
      <c r="BP3" s="13">
        <v>46162</v>
      </c>
      <c r="BQ3" s="14" t="s">
        <v>31</v>
      </c>
      <c r="BR3" s="19" t="s">
        <v>28</v>
      </c>
      <c r="BS3" s="16">
        <v>70</v>
      </c>
      <c r="BU3" s="13">
        <v>46193</v>
      </c>
      <c r="BV3" s="14" t="s">
        <v>31</v>
      </c>
      <c r="BW3" s="19" t="s">
        <v>28</v>
      </c>
      <c r="BX3" s="16">
        <v>70</v>
      </c>
      <c r="BZ3" s="13">
        <v>46223</v>
      </c>
      <c r="CA3" s="14" t="s">
        <v>31</v>
      </c>
      <c r="CB3" s="19" t="s">
        <v>28</v>
      </c>
      <c r="CC3" s="16">
        <v>70</v>
      </c>
      <c r="CE3" s="13">
        <v>46254</v>
      </c>
      <c r="CF3" s="14" t="s">
        <v>31</v>
      </c>
      <c r="CG3" s="19" t="s">
        <v>28</v>
      </c>
      <c r="CH3" s="16">
        <v>70</v>
      </c>
      <c r="CJ3" s="43">
        <v>46285</v>
      </c>
      <c r="CK3" s="26" t="s">
        <v>31</v>
      </c>
      <c r="CL3" s="27" t="s">
        <v>28</v>
      </c>
      <c r="CM3" s="44">
        <v>70</v>
      </c>
    </row>
    <row r="4" spans="1:91" x14ac:dyDescent="0.25">
      <c r="A4" s="8">
        <v>45767</v>
      </c>
      <c r="B4" s="9" t="s">
        <v>31</v>
      </c>
      <c r="C4" s="10" t="s">
        <v>28</v>
      </c>
      <c r="D4" s="11">
        <v>70</v>
      </c>
      <c r="E4" s="12" t="s">
        <v>22</v>
      </c>
      <c r="G4" s="13">
        <v>45797</v>
      </c>
      <c r="H4" s="14" t="s">
        <v>32</v>
      </c>
      <c r="I4" s="18" t="s">
        <v>21</v>
      </c>
      <c r="J4" s="16">
        <v>176</v>
      </c>
      <c r="K4" s="17" t="s">
        <v>22</v>
      </c>
      <c r="M4" s="13">
        <v>45828</v>
      </c>
      <c r="N4" s="14" t="s">
        <v>27</v>
      </c>
      <c r="O4" s="19" t="s">
        <v>28</v>
      </c>
      <c r="P4" s="16">
        <v>700</v>
      </c>
      <c r="R4" s="13">
        <v>45858</v>
      </c>
      <c r="S4" s="14" t="s">
        <v>31</v>
      </c>
      <c r="T4" s="19" t="s">
        <v>28</v>
      </c>
      <c r="U4" s="16">
        <v>40</v>
      </c>
      <c r="W4" s="13">
        <v>45889</v>
      </c>
      <c r="X4" s="14" t="s">
        <v>33</v>
      </c>
      <c r="Y4" s="19" t="s">
        <v>28</v>
      </c>
      <c r="Z4" s="16">
        <v>209</v>
      </c>
      <c r="AB4" s="13">
        <v>45920</v>
      </c>
      <c r="AC4" s="14" t="s">
        <v>33</v>
      </c>
      <c r="AD4" s="19" t="s">
        <v>28</v>
      </c>
      <c r="AE4" s="16">
        <v>130</v>
      </c>
      <c r="AG4" s="13">
        <v>45950</v>
      </c>
      <c r="AH4" s="14" t="s">
        <v>33</v>
      </c>
      <c r="AI4" s="19" t="s">
        <v>28</v>
      </c>
      <c r="AJ4" s="16">
        <v>220</v>
      </c>
      <c r="AL4" s="13">
        <v>45981</v>
      </c>
      <c r="AM4" s="14" t="s">
        <v>33</v>
      </c>
      <c r="AN4" s="19" t="s">
        <v>28</v>
      </c>
      <c r="AO4" s="16">
        <v>221</v>
      </c>
      <c r="AQ4" s="13">
        <v>46011</v>
      </c>
      <c r="AR4" s="14" t="s">
        <v>33</v>
      </c>
      <c r="AS4" s="19" t="s">
        <v>28</v>
      </c>
      <c r="AT4" s="16">
        <v>202</v>
      </c>
      <c r="AV4" s="13">
        <v>46042</v>
      </c>
      <c r="AW4" s="14" t="s">
        <v>33</v>
      </c>
      <c r="AX4" s="19" t="s">
        <v>28</v>
      </c>
      <c r="AY4" s="16">
        <v>202</v>
      </c>
      <c r="BA4" s="13">
        <v>46073</v>
      </c>
      <c r="BB4" s="14" t="s">
        <v>33</v>
      </c>
      <c r="BC4" s="19" t="s">
        <v>28</v>
      </c>
      <c r="BD4" s="16">
        <v>202</v>
      </c>
      <c r="BF4" s="13">
        <v>46101</v>
      </c>
      <c r="BG4" s="14" t="s">
        <v>33</v>
      </c>
      <c r="BH4" s="19" t="s">
        <v>28</v>
      </c>
      <c r="BI4" s="16">
        <v>221</v>
      </c>
      <c r="BK4" s="13">
        <v>46132</v>
      </c>
      <c r="BL4" s="14" t="s">
        <v>33</v>
      </c>
      <c r="BM4" s="19" t="s">
        <v>28</v>
      </c>
      <c r="BN4" s="16">
        <v>247</v>
      </c>
      <c r="BP4" s="13">
        <v>46162</v>
      </c>
      <c r="BQ4" s="14" t="s">
        <v>33</v>
      </c>
      <c r="BR4" s="19" t="s">
        <v>28</v>
      </c>
      <c r="BS4" s="16">
        <v>247</v>
      </c>
      <c r="BU4" s="13">
        <v>46193</v>
      </c>
      <c r="BV4" s="14" t="s">
        <v>33</v>
      </c>
      <c r="BW4" s="19" t="s">
        <v>28</v>
      </c>
      <c r="BX4" s="16">
        <v>247</v>
      </c>
      <c r="BZ4" s="13">
        <v>46223</v>
      </c>
      <c r="CA4" s="14" t="s">
        <v>33</v>
      </c>
      <c r="CB4" s="19" t="s">
        <v>28</v>
      </c>
      <c r="CC4" s="16">
        <v>247</v>
      </c>
      <c r="CE4" s="13">
        <v>46254</v>
      </c>
      <c r="CF4" s="14" t="s">
        <v>33</v>
      </c>
      <c r="CG4" s="19" t="s">
        <v>28</v>
      </c>
      <c r="CH4" s="16">
        <v>247</v>
      </c>
      <c r="CJ4" s="43">
        <v>46285</v>
      </c>
      <c r="CK4" s="26" t="s">
        <v>33</v>
      </c>
      <c r="CL4" s="27" t="s">
        <v>28</v>
      </c>
      <c r="CM4" s="44">
        <v>247</v>
      </c>
    </row>
    <row r="5" spans="1:91" x14ac:dyDescent="0.25">
      <c r="A5" s="8">
        <v>45767</v>
      </c>
      <c r="B5" s="9" t="s">
        <v>33</v>
      </c>
      <c r="C5" s="10" t="s">
        <v>28</v>
      </c>
      <c r="D5" s="11">
        <v>130</v>
      </c>
      <c r="E5" s="12" t="s">
        <v>22</v>
      </c>
      <c r="G5" s="13">
        <v>45797</v>
      </c>
      <c r="H5" s="14" t="s">
        <v>34</v>
      </c>
      <c r="I5" s="18" t="s">
        <v>21</v>
      </c>
      <c r="J5" s="16">
        <v>102.66</v>
      </c>
      <c r="K5" s="17" t="s">
        <v>22</v>
      </c>
      <c r="M5" s="13">
        <v>45828</v>
      </c>
      <c r="N5" s="14" t="s">
        <v>31</v>
      </c>
      <c r="O5" s="19" t="s">
        <v>28</v>
      </c>
      <c r="P5" s="16">
        <v>70</v>
      </c>
      <c r="R5" s="13">
        <v>45858</v>
      </c>
      <c r="S5" s="14" t="s">
        <v>33</v>
      </c>
      <c r="T5" s="19" t="s">
        <v>28</v>
      </c>
      <c r="U5" s="16">
        <v>227</v>
      </c>
      <c r="W5" s="13">
        <v>45889</v>
      </c>
      <c r="X5" s="14" t="s">
        <v>35</v>
      </c>
      <c r="Y5" s="19" t="s">
        <v>28</v>
      </c>
      <c r="Z5" s="16">
        <v>100</v>
      </c>
      <c r="AB5" s="13">
        <v>45920</v>
      </c>
      <c r="AC5" s="14" t="s">
        <v>35</v>
      </c>
      <c r="AD5" s="19" t="s">
        <v>28</v>
      </c>
      <c r="AE5" s="16">
        <v>100</v>
      </c>
      <c r="AG5" s="13">
        <v>45950</v>
      </c>
      <c r="AH5" s="14" t="s">
        <v>35</v>
      </c>
      <c r="AI5" s="19" t="s">
        <v>28</v>
      </c>
      <c r="AJ5" s="16">
        <v>100</v>
      </c>
      <c r="AL5" s="13">
        <v>45981</v>
      </c>
      <c r="AM5" s="14" t="s">
        <v>35</v>
      </c>
      <c r="AN5" s="19" t="s">
        <v>28</v>
      </c>
      <c r="AO5" s="16">
        <v>100</v>
      </c>
      <c r="AQ5" s="13">
        <v>46011</v>
      </c>
      <c r="AR5" s="14" t="s">
        <v>35</v>
      </c>
      <c r="AS5" s="19" t="s">
        <v>28</v>
      </c>
      <c r="AT5" s="16">
        <v>100</v>
      </c>
      <c r="AV5" s="13">
        <v>46042</v>
      </c>
      <c r="AW5" s="14" t="s">
        <v>35</v>
      </c>
      <c r="AX5" s="19" t="s">
        <v>28</v>
      </c>
      <c r="AY5" s="16">
        <v>100</v>
      </c>
      <c r="BA5" s="13">
        <v>46073</v>
      </c>
      <c r="BB5" s="14" t="s">
        <v>35</v>
      </c>
      <c r="BC5" s="19" t="s">
        <v>28</v>
      </c>
      <c r="BD5" s="16">
        <v>100</v>
      </c>
      <c r="BF5" s="13">
        <v>46101</v>
      </c>
      <c r="BG5" s="14" t="s">
        <v>35</v>
      </c>
      <c r="BH5" s="19" t="s">
        <v>28</v>
      </c>
      <c r="BI5" s="16">
        <v>100</v>
      </c>
      <c r="BK5" s="13">
        <v>46132</v>
      </c>
      <c r="BL5" s="14" t="s">
        <v>35</v>
      </c>
      <c r="BM5" s="19" t="s">
        <v>28</v>
      </c>
      <c r="BN5" s="16">
        <v>100</v>
      </c>
      <c r="BP5" s="13">
        <v>46162</v>
      </c>
      <c r="BQ5" s="14" t="s">
        <v>35</v>
      </c>
      <c r="BR5" s="19" t="s">
        <v>28</v>
      </c>
      <c r="BS5" s="16">
        <v>100</v>
      </c>
      <c r="BU5" s="13">
        <v>46193</v>
      </c>
      <c r="BV5" s="14" t="s">
        <v>35</v>
      </c>
      <c r="BW5" s="19" t="s">
        <v>28</v>
      </c>
      <c r="BX5" s="16">
        <v>100</v>
      </c>
      <c r="BZ5" s="13">
        <v>46223</v>
      </c>
      <c r="CA5" s="14" t="s">
        <v>35</v>
      </c>
      <c r="CB5" s="19" t="s">
        <v>28</v>
      </c>
      <c r="CC5" s="16">
        <v>100</v>
      </c>
      <c r="CE5" s="13">
        <v>46254</v>
      </c>
      <c r="CF5" s="14" t="s">
        <v>35</v>
      </c>
      <c r="CG5" s="19" t="s">
        <v>28</v>
      </c>
      <c r="CH5" s="16">
        <v>100</v>
      </c>
      <c r="CJ5" s="43">
        <v>46285</v>
      </c>
      <c r="CK5" s="26" t="s">
        <v>35</v>
      </c>
      <c r="CL5" s="27" t="s">
        <v>28</v>
      </c>
      <c r="CM5" s="44">
        <v>100</v>
      </c>
    </row>
    <row r="6" spans="1:91" x14ac:dyDescent="0.25">
      <c r="A6" s="8">
        <v>45767</v>
      </c>
      <c r="B6" s="9" t="s">
        <v>35</v>
      </c>
      <c r="C6" s="10" t="s">
        <v>28</v>
      </c>
      <c r="D6" s="11">
        <v>100</v>
      </c>
      <c r="E6" s="12" t="s">
        <v>22</v>
      </c>
      <c r="G6" s="13">
        <v>45797</v>
      </c>
      <c r="H6" s="14" t="s">
        <v>27</v>
      </c>
      <c r="I6" s="19" t="s">
        <v>28</v>
      </c>
      <c r="J6" s="16">
        <v>600</v>
      </c>
      <c r="K6" s="16" t="s">
        <v>22</v>
      </c>
      <c r="M6" s="13">
        <v>45828</v>
      </c>
      <c r="N6" s="14" t="s">
        <v>33</v>
      </c>
      <c r="O6" s="19" t="s">
        <v>28</v>
      </c>
      <c r="P6" s="16">
        <v>130</v>
      </c>
      <c r="R6" s="13">
        <v>45858</v>
      </c>
      <c r="S6" s="14" t="s">
        <v>35</v>
      </c>
      <c r="T6" s="19" t="s">
        <v>28</v>
      </c>
      <c r="U6" s="16">
        <v>100</v>
      </c>
      <c r="W6" s="13">
        <v>45889</v>
      </c>
      <c r="X6" s="14" t="s">
        <v>36</v>
      </c>
      <c r="Y6" s="19" t="s">
        <v>28</v>
      </c>
      <c r="Z6" s="16">
        <v>60</v>
      </c>
      <c r="AB6" s="13">
        <v>45920</v>
      </c>
      <c r="AC6" s="14" t="s">
        <v>36</v>
      </c>
      <c r="AD6" s="19" t="s">
        <v>28</v>
      </c>
      <c r="AE6" s="16">
        <v>60</v>
      </c>
      <c r="AG6" s="13">
        <v>45950</v>
      </c>
      <c r="AH6" s="14" t="s">
        <v>36</v>
      </c>
      <c r="AI6" s="19" t="s">
        <v>28</v>
      </c>
      <c r="AJ6" s="16">
        <v>60</v>
      </c>
      <c r="AL6" s="13">
        <v>45981</v>
      </c>
      <c r="AM6" s="14" t="s">
        <v>37</v>
      </c>
      <c r="AN6" s="19" t="s">
        <v>38</v>
      </c>
      <c r="AO6" s="16">
        <v>200</v>
      </c>
      <c r="AQ6" s="13">
        <v>46011</v>
      </c>
      <c r="AR6" s="14" t="s">
        <v>39</v>
      </c>
      <c r="AS6" s="29" t="s">
        <v>40</v>
      </c>
      <c r="AT6" s="16">
        <v>60</v>
      </c>
      <c r="AV6" s="13">
        <v>46042</v>
      </c>
      <c r="AW6" s="14" t="s">
        <v>39</v>
      </c>
      <c r="AX6" s="29" t="s">
        <v>41</v>
      </c>
      <c r="AY6" s="16">
        <v>60</v>
      </c>
      <c r="BA6" s="13">
        <v>46073</v>
      </c>
      <c r="BB6" s="14" t="s">
        <v>42</v>
      </c>
      <c r="BC6" s="29" t="s">
        <v>28</v>
      </c>
      <c r="BD6" s="16">
        <v>50</v>
      </c>
      <c r="BF6" s="13">
        <v>46101</v>
      </c>
      <c r="BG6" s="14" t="s">
        <v>42</v>
      </c>
      <c r="BH6" s="29" t="s">
        <v>28</v>
      </c>
      <c r="BI6" s="16">
        <v>50</v>
      </c>
      <c r="BK6" s="13">
        <v>46132</v>
      </c>
      <c r="BL6" s="14" t="s">
        <v>42</v>
      </c>
      <c r="BM6" s="29" t="s">
        <v>28</v>
      </c>
      <c r="BN6" s="16">
        <v>50</v>
      </c>
      <c r="BP6" s="13">
        <v>46162</v>
      </c>
      <c r="BQ6" s="14" t="s">
        <v>42</v>
      </c>
      <c r="BR6" s="29" t="s">
        <v>28</v>
      </c>
      <c r="BS6" s="16">
        <v>50</v>
      </c>
      <c r="BU6" s="13">
        <v>46193</v>
      </c>
      <c r="BV6" s="14" t="s">
        <v>42</v>
      </c>
      <c r="BW6" s="29" t="s">
        <v>28</v>
      </c>
      <c r="BX6" s="16">
        <v>50</v>
      </c>
      <c r="BZ6" s="13">
        <v>46223</v>
      </c>
      <c r="CA6" s="14" t="s">
        <v>42</v>
      </c>
      <c r="CB6" s="29" t="s">
        <v>28</v>
      </c>
      <c r="CC6" s="16">
        <v>50</v>
      </c>
      <c r="CE6" s="13">
        <v>46254</v>
      </c>
      <c r="CF6" s="14" t="s">
        <v>42</v>
      </c>
      <c r="CG6" s="29" t="s">
        <v>28</v>
      </c>
      <c r="CH6" s="16">
        <v>50</v>
      </c>
      <c r="CJ6" s="43">
        <v>46285</v>
      </c>
      <c r="CK6" s="26" t="s">
        <v>42</v>
      </c>
      <c r="CL6" s="45" t="s">
        <v>28</v>
      </c>
      <c r="CM6" s="44">
        <v>50</v>
      </c>
    </row>
    <row r="7" spans="1:91" x14ac:dyDescent="0.25">
      <c r="A7" s="8">
        <v>45767</v>
      </c>
      <c r="B7" s="9" t="s">
        <v>43</v>
      </c>
      <c r="C7" s="10" t="s">
        <v>44</v>
      </c>
      <c r="D7" s="11">
        <v>158.5</v>
      </c>
      <c r="E7" s="12" t="s">
        <v>22</v>
      </c>
      <c r="G7" s="13">
        <v>45797</v>
      </c>
      <c r="H7" s="14" t="s">
        <v>31</v>
      </c>
      <c r="I7" s="19" t="s">
        <v>28</v>
      </c>
      <c r="J7" s="16">
        <v>70</v>
      </c>
      <c r="K7" s="16" t="s">
        <v>22</v>
      </c>
      <c r="M7" s="13">
        <v>45828</v>
      </c>
      <c r="N7" s="14" t="s">
        <v>35</v>
      </c>
      <c r="O7" s="19" t="s">
        <v>28</v>
      </c>
      <c r="P7" s="16">
        <v>100</v>
      </c>
      <c r="R7" s="13">
        <v>45858</v>
      </c>
      <c r="S7" s="14" t="s">
        <v>36</v>
      </c>
      <c r="T7" s="19" t="s">
        <v>28</v>
      </c>
      <c r="U7" s="16">
        <v>60</v>
      </c>
      <c r="W7" s="13">
        <v>45889</v>
      </c>
      <c r="X7" s="14" t="s">
        <v>45</v>
      </c>
      <c r="Y7" s="15" t="s">
        <v>46</v>
      </c>
      <c r="Z7" s="16">
        <v>180</v>
      </c>
      <c r="AB7" s="13">
        <v>45920</v>
      </c>
      <c r="AC7" s="14" t="s">
        <v>47</v>
      </c>
      <c r="AD7" s="19" t="s">
        <v>28</v>
      </c>
      <c r="AE7" s="16">
        <v>200</v>
      </c>
      <c r="AG7" s="13">
        <v>45950</v>
      </c>
      <c r="AH7" s="14" t="s">
        <v>48</v>
      </c>
      <c r="AI7" s="19" t="s">
        <v>28</v>
      </c>
      <c r="AJ7" s="16">
        <v>200</v>
      </c>
      <c r="AL7" s="13">
        <v>45981</v>
      </c>
      <c r="AM7" s="14" t="s">
        <v>49</v>
      </c>
      <c r="AN7" s="19" t="s">
        <v>28</v>
      </c>
      <c r="AO7" s="16">
        <v>1087</v>
      </c>
      <c r="AQ7" s="13">
        <v>46011</v>
      </c>
      <c r="AR7" s="14" t="s">
        <v>50</v>
      </c>
      <c r="AS7" s="19" t="s">
        <v>51</v>
      </c>
      <c r="AT7" s="16">
        <v>200</v>
      </c>
      <c r="AV7" s="13">
        <v>46042</v>
      </c>
      <c r="AW7" s="14" t="s">
        <v>42</v>
      </c>
      <c r="AX7" s="29" t="s">
        <v>28</v>
      </c>
      <c r="AY7" s="16">
        <v>50</v>
      </c>
      <c r="BA7" s="13">
        <v>46073</v>
      </c>
      <c r="BB7" s="14" t="s">
        <v>52</v>
      </c>
      <c r="BC7" s="46" t="s">
        <v>53</v>
      </c>
      <c r="BD7" s="16">
        <v>405</v>
      </c>
      <c r="BF7" s="13">
        <v>46101</v>
      </c>
      <c r="BG7" s="14" t="s">
        <v>54</v>
      </c>
      <c r="BH7" s="46" t="s">
        <v>55</v>
      </c>
      <c r="BI7" s="16">
        <v>405</v>
      </c>
      <c r="BK7" s="13">
        <v>46132</v>
      </c>
      <c r="BL7" s="14" t="s">
        <v>56</v>
      </c>
      <c r="BM7" s="46" t="s">
        <v>57</v>
      </c>
      <c r="BN7" s="16">
        <v>405</v>
      </c>
      <c r="BP7" s="13">
        <v>46162</v>
      </c>
      <c r="BQ7" s="14" t="s">
        <v>58</v>
      </c>
      <c r="BR7" s="46" t="s">
        <v>59</v>
      </c>
      <c r="BS7" s="16">
        <v>405</v>
      </c>
      <c r="BU7" s="13">
        <v>46193</v>
      </c>
      <c r="BV7" s="14" t="s">
        <v>60</v>
      </c>
      <c r="BW7" s="46" t="s">
        <v>61</v>
      </c>
      <c r="BX7" s="16">
        <v>405</v>
      </c>
      <c r="BZ7" s="13">
        <v>46223</v>
      </c>
      <c r="CA7" s="14" t="s">
        <v>117</v>
      </c>
      <c r="CB7" s="46" t="s">
        <v>116</v>
      </c>
      <c r="CC7" s="16">
        <v>405</v>
      </c>
      <c r="CE7" s="13">
        <v>46254</v>
      </c>
      <c r="CF7" s="14" t="s">
        <v>117</v>
      </c>
      <c r="CG7" s="46" t="s">
        <v>128</v>
      </c>
      <c r="CH7" s="16">
        <v>405</v>
      </c>
      <c r="CJ7" s="43">
        <v>46285</v>
      </c>
      <c r="CK7" s="26" t="s">
        <v>117</v>
      </c>
      <c r="CL7" s="48" t="s">
        <v>134</v>
      </c>
      <c r="CM7" s="44">
        <v>405</v>
      </c>
    </row>
    <row r="8" spans="1:91" x14ac:dyDescent="0.25">
      <c r="A8" s="8">
        <v>45767</v>
      </c>
      <c r="B8" s="9" t="s">
        <v>62</v>
      </c>
      <c r="C8" s="10" t="s">
        <v>44</v>
      </c>
      <c r="D8" s="11">
        <v>200</v>
      </c>
      <c r="E8" s="12" t="s">
        <v>22</v>
      </c>
      <c r="G8" s="13">
        <v>45797</v>
      </c>
      <c r="H8" s="14" t="s">
        <v>33</v>
      </c>
      <c r="I8" s="19" t="s">
        <v>28</v>
      </c>
      <c r="J8" s="16">
        <v>130</v>
      </c>
      <c r="K8" s="16" t="s">
        <v>22</v>
      </c>
      <c r="M8" s="13">
        <v>45828</v>
      </c>
      <c r="N8" s="14" t="s">
        <v>36</v>
      </c>
      <c r="O8" s="19" t="s">
        <v>28</v>
      </c>
      <c r="P8" s="16">
        <v>60</v>
      </c>
      <c r="R8" s="13">
        <v>45858</v>
      </c>
      <c r="S8" s="14" t="s">
        <v>63</v>
      </c>
      <c r="T8" s="19" t="s">
        <v>28</v>
      </c>
      <c r="U8" s="16">
        <v>200</v>
      </c>
      <c r="W8" s="13">
        <v>45889</v>
      </c>
      <c r="X8" s="14" t="s">
        <v>64</v>
      </c>
      <c r="Y8" s="15" t="s">
        <v>65</v>
      </c>
      <c r="Z8" s="16">
        <v>120</v>
      </c>
      <c r="AB8" s="13">
        <v>45920</v>
      </c>
      <c r="AC8" s="14" t="s">
        <v>45</v>
      </c>
      <c r="AD8" s="15" t="s">
        <v>66</v>
      </c>
      <c r="AE8" s="16">
        <v>1080</v>
      </c>
      <c r="AG8" s="13">
        <v>45950</v>
      </c>
      <c r="AH8" s="14" t="s">
        <v>49</v>
      </c>
      <c r="AI8" s="19" t="s">
        <v>28</v>
      </c>
      <c r="AJ8" s="16">
        <v>1106</v>
      </c>
      <c r="AL8" s="13">
        <v>45981</v>
      </c>
      <c r="AM8" s="14" t="s">
        <v>67</v>
      </c>
      <c r="AN8" s="19" t="s">
        <v>68</v>
      </c>
      <c r="AO8" s="16">
        <v>265</v>
      </c>
      <c r="AQ8" s="13">
        <v>46011</v>
      </c>
      <c r="AR8" s="14" t="s">
        <v>69</v>
      </c>
      <c r="AS8" s="19" t="s">
        <v>51</v>
      </c>
      <c r="AT8" s="16">
        <v>183</v>
      </c>
      <c r="BF8" s="13">
        <v>46101</v>
      </c>
      <c r="BG8" s="14" t="s">
        <v>70</v>
      </c>
      <c r="BH8" s="29" t="s">
        <v>71</v>
      </c>
      <c r="BI8" s="16">
        <v>385</v>
      </c>
      <c r="BK8" s="13">
        <v>46132</v>
      </c>
      <c r="BL8" s="14" t="s">
        <v>72</v>
      </c>
      <c r="BM8" s="29" t="s">
        <v>71</v>
      </c>
      <c r="BN8" s="16">
        <v>350</v>
      </c>
      <c r="BP8" s="13">
        <v>46162</v>
      </c>
      <c r="BQ8" s="14" t="s">
        <v>72</v>
      </c>
      <c r="BR8" s="29" t="s">
        <v>71</v>
      </c>
      <c r="BS8" s="16">
        <v>330</v>
      </c>
      <c r="BU8" s="13">
        <v>46193</v>
      </c>
      <c r="BV8" s="14" t="s">
        <v>72</v>
      </c>
      <c r="BW8" s="29" t="s">
        <v>71</v>
      </c>
      <c r="BX8" s="16">
        <v>350</v>
      </c>
      <c r="BZ8" s="13">
        <v>46223</v>
      </c>
      <c r="CA8" s="14" t="s">
        <v>72</v>
      </c>
      <c r="CB8" s="29" t="s">
        <v>71</v>
      </c>
      <c r="CC8" s="16">
        <v>397</v>
      </c>
      <c r="CE8" s="13">
        <v>46254</v>
      </c>
      <c r="CF8" s="14" t="s">
        <v>72</v>
      </c>
      <c r="CG8" s="29" t="s">
        <v>71</v>
      </c>
      <c r="CH8" s="16">
        <v>397</v>
      </c>
      <c r="CJ8" s="43">
        <v>46285</v>
      </c>
      <c r="CK8" s="26" t="s">
        <v>72</v>
      </c>
      <c r="CL8" s="45" t="s">
        <v>71</v>
      </c>
      <c r="CM8" s="44"/>
    </row>
    <row r="9" spans="1:91" x14ac:dyDescent="0.25">
      <c r="A9" s="8">
        <v>45767</v>
      </c>
      <c r="B9" s="9" t="s">
        <v>73</v>
      </c>
      <c r="C9" s="10" t="s">
        <v>45</v>
      </c>
      <c r="D9" s="11">
        <v>1050</v>
      </c>
      <c r="E9" s="11">
        <v>250</v>
      </c>
      <c r="G9" s="13">
        <v>45797</v>
      </c>
      <c r="H9" s="14" t="s">
        <v>35</v>
      </c>
      <c r="I9" s="19" t="s">
        <v>28</v>
      </c>
      <c r="J9" s="16">
        <v>100</v>
      </c>
      <c r="K9" s="16" t="s">
        <v>22</v>
      </c>
      <c r="M9" s="13">
        <v>45828</v>
      </c>
      <c r="N9" s="14" t="s">
        <v>74</v>
      </c>
      <c r="O9" s="19" t="s">
        <v>44</v>
      </c>
      <c r="P9" s="16">
        <v>200</v>
      </c>
      <c r="R9" s="13">
        <v>45858</v>
      </c>
      <c r="S9" s="14" t="s">
        <v>75</v>
      </c>
      <c r="T9" s="19" t="s">
        <v>44</v>
      </c>
      <c r="U9" s="16">
        <v>300</v>
      </c>
      <c r="W9" s="13">
        <v>45889</v>
      </c>
      <c r="X9" s="14" t="s">
        <v>76</v>
      </c>
      <c r="Y9" s="19" t="s">
        <v>28</v>
      </c>
      <c r="Z9" s="16">
        <v>200</v>
      </c>
      <c r="AB9" s="13">
        <v>45920</v>
      </c>
      <c r="AC9" s="14" t="s">
        <v>45</v>
      </c>
      <c r="AD9" s="15" t="s">
        <v>66</v>
      </c>
      <c r="AE9" s="16">
        <v>1200</v>
      </c>
      <c r="AG9" s="13">
        <v>45950</v>
      </c>
      <c r="AH9" s="14" t="s">
        <v>77</v>
      </c>
      <c r="AI9" s="28" t="s">
        <v>78</v>
      </c>
      <c r="AJ9" s="16">
        <v>119.9</v>
      </c>
      <c r="AL9" s="13">
        <v>45981</v>
      </c>
      <c r="AM9" s="14" t="s">
        <v>79</v>
      </c>
      <c r="AN9" s="19" t="s">
        <v>68</v>
      </c>
      <c r="AO9" s="16">
        <v>300</v>
      </c>
      <c r="AQ9" s="13">
        <v>46011</v>
      </c>
      <c r="AR9" s="14" t="s">
        <v>80</v>
      </c>
      <c r="AS9" s="19" t="s">
        <v>51</v>
      </c>
      <c r="AT9" s="16">
        <v>311</v>
      </c>
      <c r="BF9" s="13">
        <v>46101</v>
      </c>
      <c r="BG9" s="14" t="s">
        <v>81</v>
      </c>
      <c r="BH9" s="29" t="s">
        <v>71</v>
      </c>
      <c r="BI9" s="16">
        <v>296</v>
      </c>
      <c r="BK9" s="13">
        <v>46132</v>
      </c>
      <c r="BL9" s="14" t="s">
        <v>82</v>
      </c>
      <c r="BM9" s="29" t="s">
        <v>71</v>
      </c>
      <c r="BN9" s="16">
        <v>300</v>
      </c>
      <c r="BP9" s="13">
        <v>46162</v>
      </c>
      <c r="BQ9" s="14" t="s">
        <v>83</v>
      </c>
      <c r="BR9" s="29" t="s">
        <v>71</v>
      </c>
      <c r="BS9" s="16">
        <v>600</v>
      </c>
      <c r="BU9" s="13">
        <v>46193</v>
      </c>
      <c r="BV9" s="14" t="s">
        <v>82</v>
      </c>
      <c r="BW9" s="29" t="s">
        <v>71</v>
      </c>
      <c r="BX9" s="16">
        <v>151</v>
      </c>
      <c r="BZ9" s="13">
        <v>46223</v>
      </c>
      <c r="CA9" s="14" t="s">
        <v>82</v>
      </c>
      <c r="CB9" s="29" t="s">
        <v>71</v>
      </c>
      <c r="CC9" s="16">
        <v>500</v>
      </c>
      <c r="CE9" s="13">
        <v>46254</v>
      </c>
      <c r="CF9" s="14" t="s">
        <v>82</v>
      </c>
      <c r="CG9" s="29" t="s">
        <v>71</v>
      </c>
      <c r="CH9" s="16"/>
      <c r="CJ9" s="43">
        <v>46285</v>
      </c>
      <c r="CK9" s="26" t="s">
        <v>82</v>
      </c>
      <c r="CL9" s="45" t="s">
        <v>71</v>
      </c>
      <c r="CM9" s="44"/>
    </row>
    <row r="10" spans="1:91" ht="15.75" customHeight="1" x14ac:dyDescent="0.25">
      <c r="A10" s="8">
        <v>45767</v>
      </c>
      <c r="B10" s="9" t="s">
        <v>84</v>
      </c>
      <c r="C10" s="10" t="s">
        <v>45</v>
      </c>
      <c r="D10" s="11">
        <v>720</v>
      </c>
      <c r="E10" s="11">
        <v>120</v>
      </c>
      <c r="G10" s="13">
        <v>45797</v>
      </c>
      <c r="H10" s="14" t="s">
        <v>36</v>
      </c>
      <c r="I10" s="19" t="s">
        <v>28</v>
      </c>
      <c r="J10" s="16">
        <v>60</v>
      </c>
      <c r="K10" s="16" t="s">
        <v>22</v>
      </c>
      <c r="M10" s="13">
        <v>45828</v>
      </c>
      <c r="N10" s="14" t="s">
        <v>85</v>
      </c>
      <c r="O10" s="19" t="s">
        <v>44</v>
      </c>
      <c r="P10" s="16">
        <v>158.5</v>
      </c>
      <c r="W10" s="13">
        <v>45889</v>
      </c>
      <c r="X10" s="14" t="s">
        <v>86</v>
      </c>
      <c r="Y10" s="15" t="s">
        <v>66</v>
      </c>
      <c r="Z10" s="16">
        <v>610</v>
      </c>
      <c r="AB10" s="13">
        <v>45920</v>
      </c>
      <c r="AC10" s="14" t="s">
        <v>87</v>
      </c>
      <c r="AD10" s="19" t="s">
        <v>66</v>
      </c>
      <c r="AE10" s="16">
        <v>524</v>
      </c>
      <c r="AJ10">
        <v>200</v>
      </c>
      <c r="AL10" s="13">
        <v>45981</v>
      </c>
      <c r="AM10" s="14" t="s">
        <v>51</v>
      </c>
      <c r="AN10" s="19" t="s">
        <v>68</v>
      </c>
      <c r="AO10" s="16">
        <v>200</v>
      </c>
      <c r="BF10" s="13">
        <v>46101</v>
      </c>
      <c r="BG10" s="14" t="s">
        <v>88</v>
      </c>
      <c r="BH10" s="29" t="s">
        <v>71</v>
      </c>
      <c r="BI10" s="16">
        <v>200</v>
      </c>
      <c r="BK10" s="13">
        <v>46132</v>
      </c>
      <c r="BL10" s="14" t="s">
        <v>83</v>
      </c>
      <c r="BM10" s="29" t="s">
        <v>71</v>
      </c>
      <c r="BN10" s="16">
        <v>450</v>
      </c>
      <c r="BP10" s="13">
        <v>46162</v>
      </c>
      <c r="BQ10" s="14" t="s">
        <v>69</v>
      </c>
      <c r="BR10" s="46" t="s">
        <v>89</v>
      </c>
      <c r="BS10" s="16">
        <v>878.74</v>
      </c>
      <c r="BU10" s="13">
        <v>46193</v>
      </c>
      <c r="BV10" s="14" t="s">
        <v>83</v>
      </c>
      <c r="BW10" s="29" t="s">
        <v>71</v>
      </c>
      <c r="BX10" s="16">
        <v>634.97</v>
      </c>
      <c r="BZ10" s="13">
        <v>46223</v>
      </c>
      <c r="CA10" s="14" t="s">
        <v>83</v>
      </c>
      <c r="CB10" s="29" t="s">
        <v>71</v>
      </c>
      <c r="CC10" s="16">
        <v>634.97</v>
      </c>
      <c r="CE10" s="13">
        <v>46254</v>
      </c>
      <c r="CF10" s="14" t="s">
        <v>83</v>
      </c>
      <c r="CG10" s="29" t="s">
        <v>71</v>
      </c>
      <c r="CH10" s="16">
        <v>604.16</v>
      </c>
      <c r="CJ10" s="13">
        <v>46285</v>
      </c>
      <c r="CK10" s="14" t="s">
        <v>83</v>
      </c>
      <c r="CL10" s="29" t="s">
        <v>71</v>
      </c>
      <c r="CM10" s="16"/>
    </row>
    <row r="11" spans="1:91" x14ac:dyDescent="0.25">
      <c r="A11" s="8">
        <v>45767</v>
      </c>
      <c r="B11" s="9" t="s">
        <v>36</v>
      </c>
      <c r="C11" s="10" t="s">
        <v>28</v>
      </c>
      <c r="D11" s="11">
        <v>60</v>
      </c>
      <c r="E11" s="11" t="s">
        <v>22</v>
      </c>
      <c r="G11" s="13">
        <v>45797</v>
      </c>
      <c r="H11" s="14" t="s">
        <v>90</v>
      </c>
      <c r="I11" s="19" t="s">
        <v>45</v>
      </c>
      <c r="J11" s="16">
        <v>850</v>
      </c>
      <c r="K11" s="16">
        <v>150</v>
      </c>
      <c r="W11" s="13">
        <v>45889</v>
      </c>
      <c r="X11" s="14" t="s">
        <v>91</v>
      </c>
      <c r="Y11" s="15" t="s">
        <v>66</v>
      </c>
      <c r="Z11" s="16">
        <v>372</v>
      </c>
      <c r="AB11" s="13">
        <v>45920</v>
      </c>
      <c r="AC11" s="14" t="s">
        <v>92</v>
      </c>
      <c r="AD11" s="15" t="s">
        <v>66</v>
      </c>
      <c r="AE11" s="16">
        <v>600</v>
      </c>
      <c r="AJ11">
        <v>30</v>
      </c>
      <c r="AL11" s="13">
        <v>45981</v>
      </c>
      <c r="AM11" s="14" t="s">
        <v>93</v>
      </c>
      <c r="AN11" s="19" t="s">
        <v>68</v>
      </c>
      <c r="AO11" s="16">
        <v>316.61</v>
      </c>
      <c r="BF11" s="13">
        <v>46101</v>
      </c>
      <c r="BG11" s="14" t="s">
        <v>72</v>
      </c>
      <c r="BH11" s="29" t="s">
        <v>71</v>
      </c>
      <c r="BI11" s="16">
        <v>350</v>
      </c>
      <c r="BP11" s="13">
        <v>46162</v>
      </c>
      <c r="BQ11" s="14" t="s">
        <v>69</v>
      </c>
      <c r="BR11" s="29" t="s">
        <v>71</v>
      </c>
      <c r="BS11" s="16">
        <v>393</v>
      </c>
      <c r="BU11" s="13">
        <v>46193</v>
      </c>
      <c r="BV11" s="14" t="s">
        <v>94</v>
      </c>
      <c r="BW11" s="46" t="s">
        <v>95</v>
      </c>
      <c r="BX11" s="16">
        <v>600</v>
      </c>
      <c r="BZ11" s="13">
        <v>46223</v>
      </c>
      <c r="CA11" s="14" t="s">
        <v>94</v>
      </c>
      <c r="CB11" s="46" t="s">
        <v>115</v>
      </c>
      <c r="CC11" s="16">
        <v>581.59</v>
      </c>
      <c r="CE11" s="13">
        <v>46254</v>
      </c>
      <c r="CF11" s="14" t="s">
        <v>94</v>
      </c>
      <c r="CG11" s="46" t="s">
        <v>95</v>
      </c>
      <c r="CH11" s="16">
        <v>481.64</v>
      </c>
      <c r="CJ11" s="43">
        <v>46285</v>
      </c>
      <c r="CK11" s="26" t="s">
        <v>94</v>
      </c>
      <c r="CL11" s="48" t="s">
        <v>71</v>
      </c>
      <c r="CM11" s="44">
        <v>587.94000000000005</v>
      </c>
    </row>
    <row r="12" spans="1:91" x14ac:dyDescent="0.25">
      <c r="G12" s="13">
        <v>45797</v>
      </c>
      <c r="H12" s="14" t="s">
        <v>96</v>
      </c>
      <c r="I12" s="19" t="s">
        <v>44</v>
      </c>
      <c r="J12" s="16">
        <v>200</v>
      </c>
      <c r="K12" s="16" t="s">
        <v>22</v>
      </c>
      <c r="W12" s="13">
        <v>45889</v>
      </c>
      <c r="X12" s="14" t="s">
        <v>77</v>
      </c>
      <c r="Y12" s="28" t="s">
        <v>97</v>
      </c>
      <c r="Z12" s="16">
        <v>119.9</v>
      </c>
      <c r="AB12" s="13">
        <v>45920</v>
      </c>
      <c r="AC12" s="14" t="s">
        <v>98</v>
      </c>
      <c r="AD12" s="15" t="s">
        <v>66</v>
      </c>
      <c r="AE12" s="16">
        <v>1900</v>
      </c>
      <c r="AJ12">
        <v>270</v>
      </c>
      <c r="AL12" s="13">
        <v>46011</v>
      </c>
      <c r="AM12" s="14" t="s">
        <v>99</v>
      </c>
      <c r="AN12" s="19" t="s">
        <v>28</v>
      </c>
      <c r="AO12" s="16">
        <v>200</v>
      </c>
      <c r="BF12" s="13">
        <v>46101</v>
      </c>
      <c r="BG12" s="14" t="s">
        <v>82</v>
      </c>
      <c r="BH12" s="29" t="s">
        <v>71</v>
      </c>
      <c r="BI12" s="16">
        <v>300</v>
      </c>
      <c r="BU12" s="13">
        <v>46193</v>
      </c>
      <c r="BV12" s="14" t="s">
        <v>100</v>
      </c>
      <c r="BW12" s="29" t="s">
        <v>71</v>
      </c>
      <c r="BX12" s="16">
        <v>1734.93</v>
      </c>
      <c r="BZ12" s="13">
        <v>46223</v>
      </c>
      <c r="CA12" s="14" t="s">
        <v>100</v>
      </c>
      <c r="CB12" s="29" t="s">
        <v>71</v>
      </c>
      <c r="CC12" s="16">
        <v>1980.43</v>
      </c>
      <c r="CE12" s="13">
        <v>46254</v>
      </c>
      <c r="CF12" s="14" t="s">
        <v>100</v>
      </c>
      <c r="CG12" s="29" t="s">
        <v>71</v>
      </c>
      <c r="CH12" s="16">
        <v>1552.14</v>
      </c>
      <c r="CJ12" s="43">
        <v>46285</v>
      </c>
      <c r="CK12" s="26" t="s">
        <v>100</v>
      </c>
      <c r="CL12" s="45" t="s">
        <v>71</v>
      </c>
      <c r="CM12" s="44"/>
    </row>
    <row r="13" spans="1:91" x14ac:dyDescent="0.25">
      <c r="G13" s="20">
        <v>45797</v>
      </c>
      <c r="H13" s="21" t="s">
        <v>101</v>
      </c>
      <c r="I13" s="22" t="s">
        <v>44</v>
      </c>
      <c r="J13" s="23">
        <v>158.5</v>
      </c>
      <c r="K13" s="23" t="s">
        <v>22</v>
      </c>
      <c r="AB13" s="13">
        <v>45920</v>
      </c>
      <c r="AC13" s="14" t="s">
        <v>102</v>
      </c>
      <c r="AD13" s="15" t="s">
        <v>66</v>
      </c>
      <c r="AE13" s="16">
        <v>170</v>
      </c>
      <c r="BF13" s="13">
        <v>46101</v>
      </c>
      <c r="BG13" s="14" t="s">
        <v>83</v>
      </c>
      <c r="BH13" s="29" t="s">
        <v>71</v>
      </c>
      <c r="BI13" s="16">
        <v>450</v>
      </c>
      <c r="BU13" s="13">
        <v>46193</v>
      </c>
      <c r="BV13" s="14" t="s">
        <v>113</v>
      </c>
      <c r="BW13" s="29" t="s">
        <v>71</v>
      </c>
      <c r="BX13" s="16">
        <v>651</v>
      </c>
      <c r="BZ13" s="13">
        <v>46223</v>
      </c>
      <c r="CA13" s="14" t="s">
        <v>39</v>
      </c>
      <c r="CB13" s="46" t="s">
        <v>125</v>
      </c>
      <c r="CC13" s="16">
        <v>98</v>
      </c>
      <c r="CE13" s="13">
        <v>46254</v>
      </c>
      <c r="CF13" s="14" t="s">
        <v>39</v>
      </c>
      <c r="CG13" s="46" t="s">
        <v>127</v>
      </c>
      <c r="CH13" s="16">
        <v>123.32</v>
      </c>
      <c r="CJ13" s="13">
        <v>46285</v>
      </c>
      <c r="CK13" s="14" t="s">
        <v>39</v>
      </c>
      <c r="CL13" s="46" t="s">
        <v>132</v>
      </c>
      <c r="CM13" s="16">
        <v>98</v>
      </c>
    </row>
    <row r="14" spans="1:91" x14ac:dyDescent="0.25">
      <c r="A14" s="47" t="s">
        <v>103</v>
      </c>
      <c r="AE14">
        <v>1100</v>
      </c>
      <c r="BF14" s="13">
        <v>46132</v>
      </c>
      <c r="BG14" s="14" t="s">
        <v>104</v>
      </c>
      <c r="BH14" s="19" t="s">
        <v>28</v>
      </c>
      <c r="BI14" s="16">
        <v>241</v>
      </c>
      <c r="BZ14" s="13">
        <v>46223</v>
      </c>
      <c r="CA14" s="14" t="s">
        <v>118</v>
      </c>
      <c r="CB14" s="46" t="s">
        <v>119</v>
      </c>
      <c r="CC14" s="16">
        <v>234.9</v>
      </c>
      <c r="CE14" s="13">
        <v>46254</v>
      </c>
      <c r="CF14" s="14" t="s">
        <v>118</v>
      </c>
      <c r="CG14" s="46" t="s">
        <v>126</v>
      </c>
      <c r="CH14" s="16">
        <v>213.17</v>
      </c>
      <c r="CJ14" s="13">
        <v>46285</v>
      </c>
      <c r="CK14" s="14" t="s">
        <v>118</v>
      </c>
      <c r="CL14" s="46" t="s">
        <v>133</v>
      </c>
      <c r="CM14" s="16">
        <v>234.9</v>
      </c>
    </row>
    <row r="15" spans="1:91" x14ac:dyDescent="0.25">
      <c r="AE15">
        <v>200</v>
      </c>
      <c r="BF15" s="13">
        <v>46101</v>
      </c>
      <c r="BG15" s="14" t="s">
        <v>105</v>
      </c>
      <c r="BH15" s="29" t="s">
        <v>71</v>
      </c>
      <c r="BI15" s="16">
        <v>300</v>
      </c>
      <c r="BZ15" s="13">
        <v>46223</v>
      </c>
      <c r="CA15" s="14" t="s">
        <v>118</v>
      </c>
      <c r="CB15" s="46" t="s">
        <v>71</v>
      </c>
      <c r="CC15" s="16">
        <v>443.17</v>
      </c>
      <c r="CE15" s="13">
        <v>46254</v>
      </c>
      <c r="CF15" s="14" t="s">
        <v>118</v>
      </c>
      <c r="CG15" s="46" t="s">
        <v>71</v>
      </c>
      <c r="CH15" s="16">
        <v>783.51</v>
      </c>
      <c r="CJ15" s="43">
        <v>46285</v>
      </c>
      <c r="CK15" s="26" t="s">
        <v>118</v>
      </c>
      <c r="CL15" s="48" t="s">
        <v>71</v>
      </c>
      <c r="CM15" s="44"/>
    </row>
    <row r="16" spans="1:91" x14ac:dyDescent="0.25">
      <c r="AE16">
        <v>115</v>
      </c>
      <c r="BZ16" s="13">
        <v>46223</v>
      </c>
      <c r="CA16" s="14" t="s">
        <v>120</v>
      </c>
      <c r="CB16" s="29" t="s">
        <v>71</v>
      </c>
      <c r="CC16" s="16">
        <v>299.89</v>
      </c>
      <c r="CE16" s="13">
        <v>46254</v>
      </c>
      <c r="CF16" s="14" t="s">
        <v>120</v>
      </c>
      <c r="CG16" s="29" t="s">
        <v>71</v>
      </c>
      <c r="CH16" s="16">
        <v>300</v>
      </c>
      <c r="CJ16" s="43">
        <v>46285</v>
      </c>
      <c r="CK16" s="26" t="s">
        <v>120</v>
      </c>
      <c r="CL16" s="45" t="s">
        <v>71</v>
      </c>
      <c r="CM16" s="44">
        <v>300</v>
      </c>
    </row>
    <row r="17" spans="3:91" x14ac:dyDescent="0.25">
      <c r="AE17">
        <v>125</v>
      </c>
      <c r="BZ17" s="13">
        <v>46223</v>
      </c>
      <c r="CA17" s="14" t="s">
        <v>121</v>
      </c>
      <c r="CB17" s="29" t="s">
        <v>71</v>
      </c>
      <c r="CC17" s="16">
        <v>197.98</v>
      </c>
      <c r="CE17" s="13">
        <v>46254</v>
      </c>
      <c r="CF17" s="14" t="s">
        <v>121</v>
      </c>
      <c r="CG17" s="29" t="s">
        <v>71</v>
      </c>
      <c r="CH17" s="16">
        <v>200</v>
      </c>
      <c r="CJ17" s="43">
        <v>46285</v>
      </c>
      <c r="CK17" s="26" t="s">
        <v>121</v>
      </c>
      <c r="CL17" s="45" t="s">
        <v>71</v>
      </c>
      <c r="CM17" s="44"/>
    </row>
    <row r="18" spans="3:91" x14ac:dyDescent="0.25">
      <c r="AE18">
        <v>60</v>
      </c>
      <c r="BZ18" s="13">
        <v>46223</v>
      </c>
      <c r="CA18" s="14" t="s">
        <v>122</v>
      </c>
      <c r="CB18" s="29" t="s">
        <v>71</v>
      </c>
      <c r="CC18" s="16">
        <v>315.72000000000003</v>
      </c>
      <c r="CE18" s="13">
        <v>46254</v>
      </c>
      <c r="CF18" s="14" t="s">
        <v>129</v>
      </c>
      <c r="CG18" s="46" t="s">
        <v>95</v>
      </c>
      <c r="CH18" s="16">
        <v>563</v>
      </c>
      <c r="CJ18" s="43">
        <v>46285</v>
      </c>
      <c r="CK18" s="26" t="s">
        <v>129</v>
      </c>
      <c r="CL18" s="48" t="s">
        <v>115</v>
      </c>
      <c r="CM18" s="44">
        <v>563</v>
      </c>
    </row>
    <row r="19" spans="3:91" x14ac:dyDescent="0.25">
      <c r="S19" s="6"/>
      <c r="T19" s="6"/>
      <c r="AE19">
        <v>50</v>
      </c>
      <c r="BZ19" s="13">
        <v>46223</v>
      </c>
      <c r="CA19" s="14" t="s">
        <v>123</v>
      </c>
      <c r="CB19" s="29" t="s">
        <v>71</v>
      </c>
      <c r="CC19" s="16">
        <v>114.39</v>
      </c>
      <c r="CE19" s="13">
        <v>46254</v>
      </c>
      <c r="CF19" s="14" t="s">
        <v>123</v>
      </c>
      <c r="CG19" s="29" t="s">
        <v>71</v>
      </c>
      <c r="CH19" s="16">
        <v>120</v>
      </c>
      <c r="CJ19" s="13">
        <v>46285</v>
      </c>
      <c r="CK19" s="14" t="s">
        <v>124</v>
      </c>
      <c r="CL19" s="46" t="s">
        <v>132</v>
      </c>
      <c r="CM19" s="16">
        <v>155</v>
      </c>
    </row>
    <row r="20" spans="3:91" x14ac:dyDescent="0.25">
      <c r="S20" s="5"/>
      <c r="T20" s="5"/>
      <c r="AE20">
        <v>120</v>
      </c>
      <c r="BZ20" s="13">
        <v>46223</v>
      </c>
      <c r="CA20" s="14" t="s">
        <v>124</v>
      </c>
      <c r="CB20" s="46" t="s">
        <v>125</v>
      </c>
      <c r="CC20" s="16">
        <v>173.38</v>
      </c>
      <c r="CE20" s="13">
        <v>46254</v>
      </c>
      <c r="CF20" s="14" t="s">
        <v>124</v>
      </c>
      <c r="CG20" s="46" t="s">
        <v>127</v>
      </c>
      <c r="CH20" s="16">
        <v>173.38</v>
      </c>
      <c r="CJ20" s="43"/>
      <c r="CK20" s="26"/>
      <c r="CL20" s="48"/>
      <c r="CM20" s="44"/>
    </row>
    <row r="21" spans="3:91" x14ac:dyDescent="0.25">
      <c r="C21" s="52" t="s">
        <v>106</v>
      </c>
      <c r="D21" s="53"/>
      <c r="H21" s="52" t="s">
        <v>106</v>
      </c>
      <c r="I21" s="53"/>
      <c r="N21" s="52" t="s">
        <v>106</v>
      </c>
      <c r="O21" s="53"/>
      <c r="S21" s="50" t="s">
        <v>106</v>
      </c>
      <c r="T21" s="51"/>
      <c r="X21" s="50" t="s">
        <v>106</v>
      </c>
      <c r="Y21" s="51"/>
      <c r="AC21" s="50" t="s">
        <v>106</v>
      </c>
      <c r="AD21" s="51"/>
      <c r="AH21" s="50" t="s">
        <v>106</v>
      </c>
      <c r="AI21" s="51"/>
      <c r="AM21" s="50" t="s">
        <v>106</v>
      </c>
      <c r="AN21" s="51"/>
      <c r="AR21" s="50" t="s">
        <v>106</v>
      </c>
      <c r="AS21" s="51"/>
      <c r="AW21" s="50" t="s">
        <v>106</v>
      </c>
      <c r="AX21" s="51"/>
      <c r="BB21" s="50" t="s">
        <v>106</v>
      </c>
      <c r="BC21" s="51"/>
      <c r="BG21" s="50" t="s">
        <v>106</v>
      </c>
      <c r="BH21" s="51"/>
      <c r="BL21" s="50" t="s">
        <v>106</v>
      </c>
      <c r="BM21" s="51"/>
      <c r="BQ21" s="50" t="s">
        <v>106</v>
      </c>
      <c r="BR21" s="51"/>
      <c r="BV21" s="50" t="s">
        <v>106</v>
      </c>
      <c r="BW21" s="51"/>
      <c r="CA21" s="50" t="s">
        <v>106</v>
      </c>
      <c r="CB21" s="51"/>
      <c r="CF21" s="50" t="s">
        <v>106</v>
      </c>
      <c r="CG21" s="51"/>
      <c r="CK21" s="50" t="s">
        <v>106</v>
      </c>
      <c r="CL21" s="51"/>
    </row>
    <row r="22" spans="3:91" x14ac:dyDescent="0.25">
      <c r="C22" s="4" t="s">
        <v>107</v>
      </c>
      <c r="D22" s="2">
        <v>3000</v>
      </c>
      <c r="H22" s="4" t="s">
        <v>107</v>
      </c>
      <c r="I22" s="2">
        <v>3065</v>
      </c>
      <c r="N22" s="4" t="s">
        <v>107</v>
      </c>
      <c r="O22" s="2">
        <v>3267</v>
      </c>
      <c r="S22" s="4" t="s">
        <v>107</v>
      </c>
      <c r="T22" s="2">
        <v>4076</v>
      </c>
      <c r="X22" s="4" t="s">
        <v>107</v>
      </c>
      <c r="Y22" s="2">
        <v>3220</v>
      </c>
      <c r="AC22" s="4" t="s">
        <v>107</v>
      </c>
      <c r="AD22" s="2">
        <v>8990</v>
      </c>
      <c r="AH22" s="4" t="s">
        <v>107</v>
      </c>
      <c r="AI22" s="2">
        <v>3020</v>
      </c>
      <c r="AM22" s="4" t="s">
        <v>107</v>
      </c>
      <c r="AN22" s="2">
        <v>5421</v>
      </c>
      <c r="AR22" s="4" t="s">
        <v>107</v>
      </c>
      <c r="AS22" s="2">
        <v>2133</v>
      </c>
      <c r="AW22" s="4" t="s">
        <v>107</v>
      </c>
      <c r="AX22" s="2">
        <v>6500</v>
      </c>
      <c r="BB22" s="4" t="s">
        <v>107</v>
      </c>
      <c r="BC22" s="2">
        <v>3060</v>
      </c>
      <c r="BG22" s="4" t="s">
        <v>107</v>
      </c>
      <c r="BH22" s="2">
        <v>9084</v>
      </c>
      <c r="BL22" s="4" t="s">
        <v>107</v>
      </c>
      <c r="BM22" s="2">
        <v>3379.4</v>
      </c>
      <c r="BQ22" s="4" t="s">
        <v>107</v>
      </c>
      <c r="BR22" s="2">
        <v>3379.4</v>
      </c>
      <c r="BV22" s="4" t="s">
        <v>107</v>
      </c>
      <c r="BW22" s="2">
        <v>3784.4</v>
      </c>
      <c r="CA22" s="4" t="s">
        <v>107</v>
      </c>
      <c r="CB22" s="2">
        <v>5004.3999999999996</v>
      </c>
      <c r="CF22" s="4" t="s">
        <v>107</v>
      </c>
      <c r="CG22" s="2">
        <v>3300</v>
      </c>
      <c r="CK22" s="4" t="s">
        <v>107</v>
      </c>
      <c r="CL22" s="2">
        <v>3300</v>
      </c>
    </row>
    <row r="23" spans="3:91" x14ac:dyDescent="0.25">
      <c r="C23" s="4" t="s">
        <v>108</v>
      </c>
      <c r="D23" s="2">
        <f xml:space="preserve"> SUM(D2:D11)</f>
        <v>3088.5</v>
      </c>
      <c r="H23" s="4" t="s">
        <v>108</v>
      </c>
      <c r="I23" s="2">
        <f xml:space="preserve"> SUM(J2:J13)</f>
        <v>2607.16</v>
      </c>
      <c r="N23" s="4" t="s">
        <v>108</v>
      </c>
      <c r="O23" s="2">
        <f xml:space="preserve"> SUM(P2:P15)</f>
        <v>3065.5</v>
      </c>
      <c r="S23" s="4" t="s">
        <v>108</v>
      </c>
      <c r="T23" s="2">
        <f xml:space="preserve"> SUM(U2:U19)</f>
        <v>2897</v>
      </c>
      <c r="X23" s="4" t="s">
        <v>108</v>
      </c>
      <c r="Y23" s="2">
        <f xml:space="preserve"> SUM(Z2:Z19)</f>
        <v>2732.9</v>
      </c>
      <c r="AC23" s="4" t="s">
        <v>108</v>
      </c>
      <c r="AD23" s="2">
        <f xml:space="preserve"> SUM(AE2:AE20)</f>
        <v>8504</v>
      </c>
      <c r="AH23" s="4" t="s">
        <v>108</v>
      </c>
      <c r="AI23" s="2">
        <f xml:space="preserve"> SUM(AJ2:AJ19)</f>
        <v>3075.9</v>
      </c>
      <c r="AM23" s="4" t="s">
        <v>108</v>
      </c>
      <c r="AN23" s="2">
        <f xml:space="preserve"> SUM(AO2:AO19)</f>
        <v>3659.61</v>
      </c>
      <c r="AR23" s="4" t="s">
        <v>108</v>
      </c>
      <c r="AS23" s="2">
        <f xml:space="preserve"> SUM(AT2:AT19)</f>
        <v>1826</v>
      </c>
      <c r="AW23" s="4" t="s">
        <v>108</v>
      </c>
      <c r="AX23" s="2">
        <f xml:space="preserve"> SUM(AY2:AY19)</f>
        <v>1182</v>
      </c>
      <c r="BB23" s="4" t="s">
        <v>108</v>
      </c>
      <c r="BC23" s="2">
        <f xml:space="preserve"> SUM(BD2:BD19)</f>
        <v>1627</v>
      </c>
      <c r="BG23" s="4" t="s">
        <v>108</v>
      </c>
      <c r="BH23" s="2">
        <f xml:space="preserve"> SUM(BI2:BI19)</f>
        <v>4168</v>
      </c>
      <c r="BL23" s="4" t="s">
        <v>108</v>
      </c>
      <c r="BM23" s="2">
        <f xml:space="preserve"> SUM(BN2:BN19)</f>
        <v>2772</v>
      </c>
      <c r="BQ23" s="4" t="s">
        <v>108</v>
      </c>
      <c r="BR23" s="2">
        <f xml:space="preserve"> SUM(BS2:BS19)</f>
        <v>3873.74</v>
      </c>
      <c r="BV23" s="4" t="s">
        <v>108</v>
      </c>
      <c r="BW23" s="2">
        <f xml:space="preserve"> SUM(BX2:BX19)</f>
        <v>5793.9000000000005</v>
      </c>
      <c r="CA23" s="4" t="s">
        <v>108</v>
      </c>
      <c r="CB23" s="2">
        <f xml:space="preserve"> SUM(CC2:CC20)</f>
        <v>7643.420000000001</v>
      </c>
      <c r="CF23" s="4" t="s">
        <v>108</v>
      </c>
      <c r="CG23" s="2" cm="1">
        <f t="array" ref="CG23">SomaSemCor(CH2:CH20,CB2)</f>
        <v>800</v>
      </c>
      <c r="CK23" s="4" t="s">
        <v>108</v>
      </c>
      <c r="CL23" s="2">
        <f xml:space="preserve"> SUM(CM2:CM20)</f>
        <v>3610.84</v>
      </c>
    </row>
    <row r="24" spans="3:91" x14ac:dyDescent="0.25">
      <c r="C24" s="4" t="s">
        <v>109</v>
      </c>
      <c r="D24" s="2">
        <f>D22-D23</f>
        <v>-88.5</v>
      </c>
      <c r="H24" s="4" t="s">
        <v>109</v>
      </c>
      <c r="I24" s="2">
        <f>I22-I23</f>
        <v>457.84000000000015</v>
      </c>
      <c r="N24" s="4" t="s">
        <v>109</v>
      </c>
      <c r="O24" s="2">
        <f>O22-O23</f>
        <v>201.5</v>
      </c>
      <c r="S24" s="4" t="s">
        <v>109</v>
      </c>
      <c r="T24" s="2">
        <f>T22-T23</f>
        <v>1179</v>
      </c>
      <c r="X24" s="4" t="s">
        <v>109</v>
      </c>
      <c r="Y24" s="2">
        <f>Y22-Y23</f>
        <v>487.09999999999991</v>
      </c>
      <c r="AC24" s="4" t="s">
        <v>109</v>
      </c>
      <c r="AD24" s="2">
        <f>AD22-AD23</f>
        <v>486</v>
      </c>
      <c r="AH24" s="4" t="s">
        <v>109</v>
      </c>
      <c r="AI24" s="2">
        <f>AI22-AI23</f>
        <v>-55.900000000000091</v>
      </c>
      <c r="AM24" s="4" t="s">
        <v>109</v>
      </c>
      <c r="AN24" s="2">
        <f>AN22-AN23</f>
        <v>1761.3899999999999</v>
      </c>
      <c r="AR24" s="4" t="s">
        <v>109</v>
      </c>
      <c r="AS24" s="2">
        <f>AS22-AS23</f>
        <v>307</v>
      </c>
      <c r="AW24" s="4" t="s">
        <v>109</v>
      </c>
      <c r="AX24" s="2">
        <f>AX22-AX23</f>
        <v>5318</v>
      </c>
      <c r="BB24" s="4" t="s">
        <v>109</v>
      </c>
      <c r="BC24" s="2">
        <f>BC22-BC23</f>
        <v>1433</v>
      </c>
      <c r="BG24" s="4" t="s">
        <v>109</v>
      </c>
      <c r="BH24" s="2">
        <f>BH22-BH23</f>
        <v>4916</v>
      </c>
      <c r="BL24" s="4" t="s">
        <v>109</v>
      </c>
      <c r="BM24" s="2">
        <f>BM22-BM23</f>
        <v>607.40000000000009</v>
      </c>
      <c r="BQ24" s="4" t="s">
        <v>109</v>
      </c>
      <c r="BR24" s="2">
        <f>BR22-BR23</f>
        <v>-494.33999999999969</v>
      </c>
      <c r="BV24" s="4" t="s">
        <v>109</v>
      </c>
      <c r="BW24" s="2">
        <f>BW22-BW23</f>
        <v>-2009.5000000000005</v>
      </c>
      <c r="CA24" s="4" t="s">
        <v>109</v>
      </c>
      <c r="CB24" s="2">
        <f>CB22-CB23</f>
        <v>-2639.0200000000013</v>
      </c>
      <c r="CF24" s="4" t="s">
        <v>109</v>
      </c>
      <c r="CG24" s="2">
        <f>CG22-CG23</f>
        <v>2500</v>
      </c>
      <c r="CK24" s="4" t="s">
        <v>109</v>
      </c>
      <c r="CL24" s="2">
        <f>CL22-CL23</f>
        <v>-310.84000000000015</v>
      </c>
    </row>
    <row r="25" spans="3:91" x14ac:dyDescent="0.25">
      <c r="D25" s="1"/>
    </row>
    <row r="26" spans="3:91" x14ac:dyDescent="0.25">
      <c r="D26" s="1"/>
    </row>
    <row r="27" spans="3:91" ht="29.25" customHeight="1" x14ac:dyDescent="0.25"/>
    <row r="43" spans="1:4" x14ac:dyDescent="0.25">
      <c r="A43" s="30" t="s">
        <v>1</v>
      </c>
      <c r="B43" s="57" t="s">
        <v>110</v>
      </c>
      <c r="C43" s="57"/>
      <c r="D43" s="58"/>
    </row>
    <row r="44" spans="1:4" x14ac:dyDescent="0.25">
      <c r="A44" s="38">
        <v>45981</v>
      </c>
      <c r="B44" s="26" t="s">
        <v>111</v>
      </c>
      <c r="C44" s="27" t="s">
        <v>28</v>
      </c>
      <c r="D44" s="39">
        <v>3744.9</v>
      </c>
    </row>
    <row r="45" spans="1:4" x14ac:dyDescent="0.25">
      <c r="A45" s="38">
        <v>46011</v>
      </c>
      <c r="B45" s="26" t="s">
        <v>111</v>
      </c>
      <c r="C45" s="27" t="s">
        <v>28</v>
      </c>
      <c r="D45" s="39">
        <v>2961.54</v>
      </c>
    </row>
    <row r="46" spans="1:4" x14ac:dyDescent="0.25">
      <c r="A46" s="38">
        <v>46042</v>
      </c>
      <c r="B46" s="26" t="s">
        <v>111</v>
      </c>
      <c r="C46" s="27" t="s">
        <v>28</v>
      </c>
      <c r="D46" s="39">
        <v>2357.9</v>
      </c>
    </row>
    <row r="47" spans="1:4" x14ac:dyDescent="0.25">
      <c r="A47" s="36"/>
      <c r="B47" s="35"/>
      <c r="C47" s="35"/>
      <c r="D47" s="33"/>
    </row>
    <row r="48" spans="1:4" x14ac:dyDescent="0.25">
      <c r="A48" s="40"/>
      <c r="B48" s="41"/>
      <c r="C48" s="41"/>
      <c r="D48" s="42"/>
    </row>
    <row r="49" spans="1:4" x14ac:dyDescent="0.25">
      <c r="A49" s="40"/>
      <c r="B49" s="41"/>
      <c r="C49" s="41"/>
      <c r="D49" s="42"/>
    </row>
    <row r="50" spans="1:4" x14ac:dyDescent="0.25">
      <c r="A50" s="40"/>
      <c r="B50" s="41"/>
      <c r="C50" s="41"/>
      <c r="D50" s="42"/>
    </row>
    <row r="51" spans="1:4" x14ac:dyDescent="0.25">
      <c r="A51" s="36"/>
      <c r="B51" s="35"/>
      <c r="C51" s="35"/>
      <c r="D51" s="33"/>
    </row>
    <row r="52" spans="1:4" x14ac:dyDescent="0.25">
      <c r="A52" s="36"/>
      <c r="B52" s="35"/>
      <c r="C52" s="35"/>
      <c r="D52" s="33"/>
    </row>
    <row r="53" spans="1:4" x14ac:dyDescent="0.25">
      <c r="A53" s="36"/>
      <c r="B53" s="35"/>
      <c r="C53" s="35"/>
      <c r="D53" s="33"/>
    </row>
    <row r="54" spans="1:4" x14ac:dyDescent="0.25">
      <c r="A54" s="36"/>
      <c r="B54" s="35"/>
      <c r="C54" s="35"/>
      <c r="D54" s="33"/>
    </row>
    <row r="55" spans="1:4" x14ac:dyDescent="0.25">
      <c r="A55" s="36"/>
      <c r="B55" s="35"/>
      <c r="C55" s="35"/>
      <c r="D55" s="33"/>
    </row>
    <row r="56" spans="1:4" x14ac:dyDescent="0.25">
      <c r="A56" s="36"/>
      <c r="B56" s="35"/>
      <c r="C56" s="35"/>
      <c r="D56" s="33"/>
    </row>
    <row r="57" spans="1:4" x14ac:dyDescent="0.25">
      <c r="A57" s="36"/>
      <c r="B57" s="35"/>
      <c r="C57" s="35"/>
      <c r="D57" s="33"/>
    </row>
    <row r="58" spans="1:4" x14ac:dyDescent="0.25">
      <c r="A58" s="36"/>
      <c r="B58" s="35"/>
      <c r="C58" s="35"/>
      <c r="D58" s="33"/>
    </row>
    <row r="59" spans="1:4" x14ac:dyDescent="0.25">
      <c r="A59" s="36"/>
      <c r="B59" s="35"/>
      <c r="C59" s="35"/>
      <c r="D59" s="33"/>
    </row>
    <row r="60" spans="1:4" x14ac:dyDescent="0.25">
      <c r="A60" s="36"/>
      <c r="B60" s="35"/>
      <c r="C60" s="35"/>
      <c r="D60" s="33"/>
    </row>
    <row r="61" spans="1:4" x14ac:dyDescent="0.25">
      <c r="A61" s="36"/>
      <c r="B61" s="35"/>
      <c r="C61" s="35"/>
      <c r="D61" s="33"/>
    </row>
    <row r="62" spans="1:4" x14ac:dyDescent="0.25">
      <c r="A62" s="36"/>
      <c r="B62" s="35"/>
      <c r="C62" s="35"/>
      <c r="D62" s="33"/>
    </row>
    <row r="63" spans="1:4" x14ac:dyDescent="0.25">
      <c r="A63" s="36"/>
      <c r="B63" s="50" t="s">
        <v>106</v>
      </c>
      <c r="C63" s="51"/>
      <c r="D63" s="33"/>
    </row>
    <row r="64" spans="1:4" x14ac:dyDescent="0.25">
      <c r="A64" s="36"/>
      <c r="B64" s="4" t="s">
        <v>112</v>
      </c>
      <c r="C64" s="2">
        <v>5318</v>
      </c>
      <c r="D64" s="33"/>
    </row>
    <row r="65" spans="1:4" x14ac:dyDescent="0.25">
      <c r="A65" s="36"/>
      <c r="B65" s="4" t="s">
        <v>108</v>
      </c>
      <c r="C65" s="2">
        <f xml:space="preserve"> SUM(D44:D61)</f>
        <v>9064.34</v>
      </c>
      <c r="D65" s="33"/>
    </row>
    <row r="66" spans="1:4" x14ac:dyDescent="0.25">
      <c r="A66" s="37"/>
      <c r="B66" s="31" t="s">
        <v>109</v>
      </c>
      <c r="C66" s="32">
        <f>C64-C65</f>
        <v>-3746.34</v>
      </c>
      <c r="D66" s="34"/>
    </row>
  </sheetData>
  <mergeCells count="38">
    <mergeCell ref="CF1:CH1"/>
    <mergeCell ref="CF21:CG21"/>
    <mergeCell ref="AW1:AY1"/>
    <mergeCell ref="AW21:AX21"/>
    <mergeCell ref="AM21:AN21"/>
    <mergeCell ref="CA1:CC1"/>
    <mergeCell ref="CA21:CB21"/>
    <mergeCell ref="BQ1:BS1"/>
    <mergeCell ref="BQ21:BR21"/>
    <mergeCell ref="BB1:BD1"/>
    <mergeCell ref="BB21:BC21"/>
    <mergeCell ref="BG1:BI1"/>
    <mergeCell ref="BG21:BH21"/>
    <mergeCell ref="BL1:BN1"/>
    <mergeCell ref="BL21:BM21"/>
    <mergeCell ref="BV1:BX1"/>
    <mergeCell ref="BV21:BW21"/>
    <mergeCell ref="H21:I21"/>
    <mergeCell ref="N1:P1"/>
    <mergeCell ref="AH1:AJ1"/>
    <mergeCell ref="AH21:AI21"/>
    <mergeCell ref="AM1:AO1"/>
    <mergeCell ref="CK1:CM1"/>
    <mergeCell ref="CK21:CL21"/>
    <mergeCell ref="B63:C63"/>
    <mergeCell ref="AR1:AT1"/>
    <mergeCell ref="AR21:AS21"/>
    <mergeCell ref="X21:Y21"/>
    <mergeCell ref="AC1:AE1"/>
    <mergeCell ref="AC21:AD21"/>
    <mergeCell ref="X1:Z1"/>
    <mergeCell ref="S1:U1"/>
    <mergeCell ref="S21:T21"/>
    <mergeCell ref="C21:D21"/>
    <mergeCell ref="A1:E1"/>
    <mergeCell ref="H1:J1"/>
    <mergeCell ref="B43:D43"/>
    <mergeCell ref="N21:O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Excel 4.0 Macros</vt:lpstr>
      </vt:variant>
      <vt:variant>
        <vt:i4>1</vt:i4>
      </vt:variant>
    </vt:vector>
  </HeadingPairs>
  <TitlesOfParts>
    <vt:vector size="2" baseType="lpstr">
      <vt:lpstr>Controle Financeiro</vt:lpstr>
      <vt:lpstr>Macro1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Gabriel Brenhe</cp:lastModifiedBy>
  <cp:revision/>
  <dcterms:created xsi:type="dcterms:W3CDTF">2025-04-12T21:51:30Z</dcterms:created>
  <dcterms:modified xsi:type="dcterms:W3CDTF">2026-09-07T09:25:12Z</dcterms:modified>
  <cp:category/>
  <cp:contentStatus/>
</cp:coreProperties>
</file>